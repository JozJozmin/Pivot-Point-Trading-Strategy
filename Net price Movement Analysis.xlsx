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Net_price_movement" sheetId="1" r:id="rId4"/>
    <sheet state="visible" name="Price movement analysis" sheetId="2" r:id="rId5"/>
  </sheets>
  <definedNames>
    <definedName hidden="1" localSheetId="0" name="_xlnm._FilterDatabase">Daily_Net_price_movement!$A$1:$Z$337</definedName>
  </definedNames>
  <calcPr/>
</workbook>
</file>

<file path=xl/sharedStrings.xml><?xml version="1.0" encoding="utf-8"?>
<sst xmlns="http://schemas.openxmlformats.org/spreadsheetml/2006/main" count="374" uniqueCount="135">
  <si>
    <t>Date</t>
  </si>
  <si>
    <t>Symbol</t>
  </si>
  <si>
    <t>Week</t>
  </si>
  <si>
    <t>Close</t>
  </si>
  <si>
    <t>Next_close_4</t>
  </si>
  <si>
    <t>20day_avg_movement</t>
  </si>
  <si>
    <t>25day_avg_movement</t>
  </si>
  <si>
    <t>30day_avg_movement</t>
  </si>
  <si>
    <t>35day_avg_movement</t>
  </si>
  <si>
    <t>40day_avg_movement</t>
  </si>
  <si>
    <t>20 day increment (%)</t>
  </si>
  <si>
    <t>25 day increment (%)</t>
  </si>
  <si>
    <t>30 day increment (%)</t>
  </si>
  <si>
    <t>35 day increment (%)</t>
  </si>
  <si>
    <t>40 day increment (%)</t>
  </si>
  <si>
    <t>20 DAY MOVEMENT</t>
  </si>
  <si>
    <t>25 DAY MOVEMENT</t>
  </si>
  <si>
    <t>30 DAY MOVEMENT</t>
  </si>
  <si>
    <t>35 DAY MOVEMENT</t>
  </si>
  <si>
    <t>40 DAY MOVEMENT</t>
  </si>
  <si>
    <t>RELIANCE.NS</t>
  </si>
  <si>
    <t>TCS.NS</t>
  </si>
  <si>
    <t>HDFCBANK.NS</t>
  </si>
  <si>
    <t>ICICIBANK.NS</t>
  </si>
  <si>
    <t>HINDUNILVR.NS</t>
  </si>
  <si>
    <t>INFY.NS</t>
  </si>
  <si>
    <t>ITC.NS</t>
  </si>
  <si>
    <t>SBIN.NS</t>
  </si>
  <si>
    <t>BHARTIARTL.NS</t>
  </si>
  <si>
    <t>BAJFINANCE.NS</t>
  </si>
  <si>
    <t>LICI.NS</t>
  </si>
  <si>
    <t>LT.NS</t>
  </si>
  <si>
    <t>HCLTECH.NS</t>
  </si>
  <si>
    <t>ASIANPAINT.NS</t>
  </si>
  <si>
    <t>AXISBANK.NS</t>
  </si>
  <si>
    <t>MARUTI.NS</t>
  </si>
  <si>
    <t>SUNPHARMA.NS</t>
  </si>
  <si>
    <t>TITAN.NS</t>
  </si>
  <si>
    <t>DMART.NS</t>
  </si>
  <si>
    <t>ULTRACEMCO.NS</t>
  </si>
  <si>
    <t>BAJAJFINSV.NS</t>
  </si>
  <si>
    <t>WIPRO.NS</t>
  </si>
  <si>
    <t>ADANIENT.NS</t>
  </si>
  <si>
    <t>ONGC.NS</t>
  </si>
  <si>
    <t>NTPC.NS</t>
  </si>
  <si>
    <t>JSWSTEEL.NS</t>
  </si>
  <si>
    <t>M&amp;M.NS</t>
  </si>
  <si>
    <t>LTIM.NS</t>
  </si>
  <si>
    <t>TATAMOTORS.NS</t>
  </si>
  <si>
    <t>ADANIGREEN.NS</t>
  </si>
  <si>
    <t>ADANIPORTS.NS</t>
  </si>
  <si>
    <t>COALINDIA.NS</t>
  </si>
  <si>
    <t>TATASTEEL.NS</t>
  </si>
  <si>
    <t>HINDZINC.NS</t>
  </si>
  <si>
    <t>PIDILITIND.NS</t>
  </si>
  <si>
    <t>SIEMENS.NS</t>
  </si>
  <si>
    <t>SBILIFE.NS</t>
  </si>
  <si>
    <t>IOC.NS</t>
  </si>
  <si>
    <t>BAJAJ-AUTO.NS</t>
  </si>
  <si>
    <t>GRASIM.NS</t>
  </si>
  <si>
    <t>TECHM.NS</t>
  </si>
  <si>
    <t>HDFCLIFE.NS</t>
  </si>
  <si>
    <t>BRITANNIA.NS</t>
  </si>
  <si>
    <t>VEDL.NS</t>
  </si>
  <si>
    <t>GODREJCP.NS</t>
  </si>
  <si>
    <t>DABUR.NS</t>
  </si>
  <si>
    <t>ATGL.NS</t>
  </si>
  <si>
    <t>SHREECEM.NS</t>
  </si>
  <si>
    <t>HAL.NS</t>
  </si>
  <si>
    <t>HINDALCO.NS</t>
  </si>
  <si>
    <t>VBL.NS</t>
  </si>
  <si>
    <t>DLF.NS</t>
  </si>
  <si>
    <t>BANKBARODA.NS</t>
  </si>
  <si>
    <t>INDUSINDBK.NS</t>
  </si>
  <si>
    <t>EICHERMOT.NS</t>
  </si>
  <si>
    <t>DRREDDY.NS</t>
  </si>
  <si>
    <t>DIVISLAB.NS</t>
  </si>
  <si>
    <t>BPCL.NS</t>
  </si>
  <si>
    <t>HAVELLS.NS</t>
  </si>
  <si>
    <t>ADANIPOWER.NS</t>
  </si>
  <si>
    <t>INDIGO.NS</t>
  </si>
  <si>
    <t>CIPLA.NS</t>
  </si>
  <si>
    <t>AMBUJACEM.NS</t>
  </si>
  <si>
    <t>SRF.NS</t>
  </si>
  <si>
    <t>ABB.NS</t>
  </si>
  <si>
    <t>BEL.NS</t>
  </si>
  <si>
    <t>SBICARD.NS</t>
  </si>
  <si>
    <t>GAIL.NS</t>
  </si>
  <si>
    <t>BAJAJHLDNG.NS</t>
  </si>
  <si>
    <t>TATACONSUM.NS</t>
  </si>
  <si>
    <t>ICICIPRULI.NS</t>
  </si>
  <si>
    <t>CHOLAFIN.NS</t>
  </si>
  <si>
    <t>MARICO.NS</t>
  </si>
  <si>
    <t>APOLLOHOSP.NS</t>
  </si>
  <si>
    <t>TATAPOWER.NS</t>
  </si>
  <si>
    <t>BOSCHLTD.NS</t>
  </si>
  <si>
    <t>BERGEPAINT.NS</t>
  </si>
  <si>
    <t>JINDALSTEL.NS</t>
  </si>
  <si>
    <t>MCDOWELL-N.NS</t>
  </si>
  <si>
    <t>UPL.NS</t>
  </si>
  <si>
    <t>AWL.NS</t>
  </si>
  <si>
    <t>ICICIGI.NS</t>
  </si>
  <si>
    <t>TORNTPHARM.NS</t>
  </si>
  <si>
    <t>CANBK.NS</t>
  </si>
  <si>
    <t>PNB.NS</t>
  </si>
  <si>
    <t>TVSMOTOR.NS</t>
  </si>
  <si>
    <t>ZYDUSLIFE.NS</t>
  </si>
  <si>
    <t>TIINDIA.NS</t>
  </si>
  <si>
    <t>TRENT.NS</t>
  </si>
  <si>
    <t>IDBI.NS</t>
  </si>
  <si>
    <t>NAUKRI.NS</t>
  </si>
  <si>
    <t>SHRIRAMFIN.NS</t>
  </si>
  <si>
    <t>HEROMOTOCO.NS</t>
  </si>
  <si>
    <t>INDHOTEL.NS</t>
  </si>
  <si>
    <t>PIIND.NS</t>
  </si>
  <si>
    <t>IRCTC.NS</t>
  </si>
  <si>
    <t>CGPOWER.NS</t>
  </si>
  <si>
    <t xml:space="preserve">AVG. NET PRICE MOVEMENT ANALYSIS </t>
  </si>
  <si>
    <t>METRICS</t>
  </si>
  <si>
    <t>20 DAYS AVG. MOVEMENT</t>
  </si>
  <si>
    <t>25 DAYS AVG. MOVEMENT</t>
  </si>
  <si>
    <t>30 DAYS AVG. MOVEMENT</t>
  </si>
  <si>
    <t>35 DAYS AVG. MOVEMENT</t>
  </si>
  <si>
    <t>40 DAYS AVG. MOVEMENT</t>
  </si>
  <si>
    <t xml:space="preserve">TOTAL COUNT </t>
  </si>
  <si>
    <t>INCREMENT (Num)</t>
  </si>
  <si>
    <t>DECREMENT (Num)</t>
  </si>
  <si>
    <t>INCREMENT (%)</t>
  </si>
  <si>
    <t>% DECREMENT</t>
  </si>
  <si>
    <t>AVG. MOVEMENT(%)</t>
  </si>
  <si>
    <t>AVG % INCREMENT (%)</t>
  </si>
  <si>
    <t>AVG % DECREMENT (%)</t>
  </si>
  <si>
    <t>Max. Upward movement(%)</t>
  </si>
  <si>
    <t>Worst down movement (%)</t>
  </si>
  <si>
    <t xml:space="preserve">SUMMARY TABLE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</si>
</sst>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8">
    <font>
      <sz val="10.0"/>
      <color rgb="FF000000"/>
      <name val="Arial"/>
      <scheme val="minor"/>
    </font>
    <font>
      <b/>
      <color theme="1"/>
      <name val="Courier New"/>
    </font>
    <font>
      <color theme="1"/>
      <name val="Courier New"/>
    </font>
    <font>
      <color theme="1"/>
      <name val="&quot;Courier New&quot;"/>
    </font>
    <font>
      <color theme="1"/>
      <name val="Arial"/>
    </font>
    <font>
      <sz val="9.0"/>
      <color theme="1"/>
      <name val="Courier New"/>
    </font>
    <font>
      <sz val="9.0"/>
      <color theme="1"/>
      <name val="Arial"/>
    </font>
    <font>
      <b/>
      <sz val="9.0"/>
      <color theme="1"/>
      <name val="Courier New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10" xfId="0" applyFill="1" applyFont="1" applyNumberFormat="1"/>
    <xf borderId="0" fillId="3" fontId="2" numFmtId="0" xfId="0" applyAlignment="1" applyFont="1">
      <alignment readingOrder="0"/>
    </xf>
    <xf borderId="0" fillId="4" fontId="1" numFmtId="0" xfId="0" applyFill="1" applyFont="1"/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5" fontId="2" numFmtId="10" xfId="0" applyFill="1" applyFont="1" applyNumberFormat="1"/>
    <xf borderId="0" fillId="6" fontId="2" numFmtId="0" xfId="0" applyFill="1" applyFont="1"/>
    <xf borderId="0" fillId="0" fontId="4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2" numFmtId="164" xfId="0" applyFont="1" applyNumberFormat="1"/>
    <xf borderId="0" fillId="0" fontId="2" numFmtId="0" xfId="0" applyFont="1"/>
    <xf borderId="0" fillId="0" fontId="2" numFmtId="2" xfId="0" applyFont="1" applyNumberFormat="1"/>
    <xf borderId="0" fillId="0" fontId="1" numFmtId="0" xfId="0" applyFont="1"/>
    <xf borderId="0" fillId="2" fontId="5" numFmtId="0" xfId="0" applyAlignment="1" applyFont="1">
      <alignment readingOrder="0"/>
    </xf>
    <xf borderId="0" fillId="2" fontId="5" numFmtId="0" xfId="0" applyAlignment="1" applyFont="1">
      <alignment horizontal="center" shrinkToFit="0" wrapText="1"/>
    </xf>
    <xf borderId="0" fillId="0" fontId="6" numFmtId="0" xfId="0" applyFont="1"/>
    <xf borderId="0" fillId="2" fontId="5" numFmtId="0" xfId="0" applyFont="1"/>
    <xf borderId="0" fillId="5" fontId="5" numFmtId="0" xfId="0" applyFont="1"/>
    <xf borderId="0" fillId="5" fontId="5" numFmtId="165" xfId="0" applyFont="1" applyNumberFormat="1"/>
    <xf borderId="0" fillId="5" fontId="5" numFmtId="10" xfId="0" applyFont="1" applyNumberFormat="1"/>
    <xf borderId="0" fillId="7" fontId="4" numFmtId="0" xfId="0" applyFill="1" applyFont="1"/>
    <xf borderId="0" fillId="7" fontId="1" numFmtId="0" xfId="0" applyFont="1"/>
    <xf borderId="0" fillId="7" fontId="7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shrinkToFit="0" wrapText="1"/>
    </xf>
    <xf borderId="0" fillId="5" fontId="2" numFmtId="10" xfId="0" applyAlignment="1" applyFont="1" applyNumberFormat="1">
      <alignment shrinkToFit="0" wrapText="1"/>
    </xf>
    <xf borderId="0" fillId="5" fontId="2" numFmtId="165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6.63"/>
    <col customWidth="1" min="3" max="4" width="12.63"/>
    <col customWidth="1" min="5" max="5" width="16.0"/>
    <col customWidth="1" min="6" max="6" width="21.13"/>
    <col customWidth="1" min="7" max="7" width="21.0"/>
    <col customWidth="1" min="8" max="8" width="21.25"/>
    <col customWidth="1" min="9" max="9" width="21.0"/>
    <col customWidth="1" min="10" max="10" width="19.63"/>
    <col customWidth="1" min="11" max="11" width="19.0"/>
    <col customWidth="1" min="12" max="12" width="17.38"/>
    <col customWidth="1" min="13" max="13" width="17.75"/>
    <col customWidth="1" min="14" max="14" width="16.75"/>
    <col customWidth="1" min="16" max="16" width="18.88"/>
    <col customWidth="1" min="17" max="19" width="17.75"/>
    <col customWidth="1" min="20" max="20" width="1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15.75" customHeight="1">
      <c r="A2" s="5">
        <v>45016.0</v>
      </c>
      <c r="B2" s="6" t="s">
        <v>20</v>
      </c>
      <c r="C2" s="5">
        <v>45012.0</v>
      </c>
      <c r="D2" s="7">
        <v>2331.05</v>
      </c>
      <c r="E2" s="7">
        <v>2324.85</v>
      </c>
      <c r="F2" s="8">
        <v>2394.3</v>
      </c>
      <c r="G2" s="8">
        <v>2409.32</v>
      </c>
      <c r="H2" s="8">
        <v>2415.29333333333</v>
      </c>
      <c r="I2" s="8">
        <v>2426.16285714285</v>
      </c>
      <c r="J2" s="8">
        <v>2432.2225</v>
      </c>
      <c r="K2" s="9">
        <f t="shared" ref="K2:K7" si="2">((F2-E2)/E2)</f>
        <v>0.02987289503</v>
      </c>
      <c r="L2" s="9">
        <f t="shared" ref="L2:L7" si="3">((G2-E2)/E2)</f>
        <v>0.03633352689</v>
      </c>
      <c r="M2" s="9">
        <f t="shared" ref="M2:M7" si="4">((H2-E2)/E2)</f>
        <v>0.03890286829</v>
      </c>
      <c r="N2" s="9">
        <f t="shared" ref="N2:N6" si="5">((I2-E2)/E2)</f>
        <v>0.04357823393</v>
      </c>
      <c r="O2" s="9">
        <f t="shared" ref="O2:O3" si="6">((J2-E2)/E2)</f>
        <v>0.04618470009</v>
      </c>
      <c r="P2" s="10" t="b">
        <f t="shared" ref="P2:T2" si="1">F2&gt;$E2</f>
        <v>1</v>
      </c>
      <c r="Q2" s="10" t="b">
        <f t="shared" si="1"/>
        <v>1</v>
      </c>
      <c r="R2" s="10" t="b">
        <f t="shared" si="1"/>
        <v>1</v>
      </c>
      <c r="S2" s="10" t="b">
        <f t="shared" si="1"/>
        <v>1</v>
      </c>
      <c r="T2" s="10" t="b">
        <f t="shared" si="1"/>
        <v>1</v>
      </c>
    </row>
    <row r="3" ht="15.75" customHeight="1">
      <c r="A3" s="5">
        <v>45110.0</v>
      </c>
      <c r="B3" s="6" t="s">
        <v>20</v>
      </c>
      <c r="C3" s="5">
        <v>45110.0</v>
      </c>
      <c r="D3" s="7">
        <v>2615.7</v>
      </c>
      <c r="E3" s="7">
        <v>2633.6</v>
      </c>
      <c r="F3" s="8">
        <v>2621.65</v>
      </c>
      <c r="G3" s="8">
        <v>2602.97199999999</v>
      </c>
      <c r="H3" s="8">
        <v>2594.71666666666</v>
      </c>
      <c r="I3" s="8">
        <v>2579.28571428571</v>
      </c>
      <c r="J3" s="8">
        <v>2566.32631578947</v>
      </c>
      <c r="K3" s="9">
        <f t="shared" si="2"/>
        <v>-0.004537515188</v>
      </c>
      <c r="L3" s="9">
        <f t="shared" si="3"/>
        <v>-0.01162970838</v>
      </c>
      <c r="M3" s="9">
        <f t="shared" si="4"/>
        <v>-0.01476432766</v>
      </c>
      <c r="N3" s="9">
        <f t="shared" si="5"/>
        <v>-0.02062358965</v>
      </c>
      <c r="O3" s="9">
        <f t="shared" si="6"/>
        <v>-0.02554438191</v>
      </c>
      <c r="P3" s="10" t="b">
        <f t="shared" ref="P3:T3" si="7">F3&gt;$E3</f>
        <v>0</v>
      </c>
      <c r="Q3" s="10" t="b">
        <f t="shared" si="7"/>
        <v>0</v>
      </c>
      <c r="R3" s="10" t="b">
        <f t="shared" si="7"/>
        <v>0</v>
      </c>
      <c r="S3" s="10" t="b">
        <f t="shared" si="7"/>
        <v>0</v>
      </c>
      <c r="T3" s="10" t="b">
        <f t="shared" si="7"/>
        <v>0</v>
      </c>
    </row>
    <row r="4" ht="15.75" customHeight="1">
      <c r="A4" s="5">
        <v>45117.0</v>
      </c>
      <c r="B4" s="6" t="s">
        <v>20</v>
      </c>
      <c r="C4" s="5">
        <v>45117.0</v>
      </c>
      <c r="D4" s="7">
        <v>2735.05</v>
      </c>
      <c r="E4" s="7">
        <v>2740.7</v>
      </c>
      <c r="F4" s="8">
        <v>2566.15499999999</v>
      </c>
      <c r="G4" s="8">
        <v>2563.612</v>
      </c>
      <c r="H4" s="8">
        <v>2550.79333333333</v>
      </c>
      <c r="I4" s="8">
        <v>2538.4606060606</v>
      </c>
      <c r="J4" s="11"/>
      <c r="K4" s="9">
        <f t="shared" si="2"/>
        <v>-0.06368628453</v>
      </c>
      <c r="L4" s="9">
        <f t="shared" si="3"/>
        <v>-0.06461414967</v>
      </c>
      <c r="M4" s="9">
        <f t="shared" si="4"/>
        <v>-0.06929130028</v>
      </c>
      <c r="N4" s="9">
        <f t="shared" si="5"/>
        <v>-0.07379114604</v>
      </c>
      <c r="O4" s="9"/>
      <c r="P4" s="10" t="b">
        <f t="shared" ref="P4:S4" si="8">F4&gt;$E4</f>
        <v>0</v>
      </c>
      <c r="Q4" s="10" t="b">
        <f t="shared" si="8"/>
        <v>0</v>
      </c>
      <c r="R4" s="10" t="b">
        <f t="shared" si="8"/>
        <v>0</v>
      </c>
      <c r="S4" s="10" t="b">
        <f t="shared" si="8"/>
        <v>0</v>
      </c>
      <c r="T4" s="10"/>
    </row>
    <row r="5" ht="15.75" customHeight="1">
      <c r="A5" s="5">
        <v>44937.0</v>
      </c>
      <c r="B5" s="6" t="s">
        <v>21</v>
      </c>
      <c r="C5" s="5">
        <v>44935.0</v>
      </c>
      <c r="D5" s="7">
        <v>3328.7</v>
      </c>
      <c r="E5" s="7">
        <v>3378.4</v>
      </c>
      <c r="F5" s="8">
        <v>3449.7875</v>
      </c>
      <c r="G5" s="8">
        <v>3455.792</v>
      </c>
      <c r="H5" s="8">
        <v>3441.315</v>
      </c>
      <c r="I5" s="8">
        <v>3428.63285714285</v>
      </c>
      <c r="J5" s="8">
        <v>3405.34874999999</v>
      </c>
      <c r="K5" s="9">
        <f t="shared" si="2"/>
        <v>0.02113056476</v>
      </c>
      <c r="L5" s="9">
        <f t="shared" si="3"/>
        <v>0.02290788539</v>
      </c>
      <c r="M5" s="9">
        <f t="shared" si="4"/>
        <v>0.01862272081</v>
      </c>
      <c r="N5" s="9">
        <f t="shared" si="5"/>
        <v>0.01486883055</v>
      </c>
      <c r="O5" s="9">
        <f t="shared" ref="O5:O6" si="10">((J5-E5)/E5)</f>
        <v>0.007976778949</v>
      </c>
      <c r="P5" s="10" t="b">
        <f t="shared" ref="P5:T5" si="9">F5&gt;$E5</f>
        <v>1</v>
      </c>
      <c r="Q5" s="10" t="b">
        <f t="shared" si="9"/>
        <v>1</v>
      </c>
      <c r="R5" s="10" t="b">
        <f t="shared" si="9"/>
        <v>1</v>
      </c>
      <c r="S5" s="10" t="b">
        <f t="shared" si="9"/>
        <v>1</v>
      </c>
      <c r="T5" s="10" t="b">
        <f t="shared" si="9"/>
        <v>1</v>
      </c>
    </row>
    <row r="6" ht="15.75" customHeight="1">
      <c r="A6" s="5">
        <v>45016.0</v>
      </c>
      <c r="B6" s="6" t="s">
        <v>21</v>
      </c>
      <c r="C6" s="5">
        <v>45012.0</v>
      </c>
      <c r="D6" s="7">
        <v>3205.9</v>
      </c>
      <c r="E6" s="7">
        <v>3263.4</v>
      </c>
      <c r="F6" s="8">
        <v>3194.865</v>
      </c>
      <c r="G6" s="8">
        <v>3207.026</v>
      </c>
      <c r="H6" s="8">
        <v>3216.58166666666</v>
      </c>
      <c r="I6" s="8">
        <v>3229.88285714285</v>
      </c>
      <c r="J6" s="8">
        <v>3236.79</v>
      </c>
      <c r="K6" s="9">
        <f t="shared" si="2"/>
        <v>-0.02100110314</v>
      </c>
      <c r="L6" s="9">
        <f t="shared" si="3"/>
        <v>-0.01727462156</v>
      </c>
      <c r="M6" s="9">
        <f t="shared" si="4"/>
        <v>-0.01434648935</v>
      </c>
      <c r="N6" s="9">
        <f t="shared" si="5"/>
        <v>-0.01027062047</v>
      </c>
      <c r="O6" s="9">
        <f t="shared" si="10"/>
        <v>-0.00815407244</v>
      </c>
      <c r="P6" s="10" t="b">
        <f t="shared" ref="P6:T6" si="11">F6&gt;$E6</f>
        <v>0</v>
      </c>
      <c r="Q6" s="10" t="b">
        <f t="shared" si="11"/>
        <v>0</v>
      </c>
      <c r="R6" s="10" t="b">
        <f t="shared" si="11"/>
        <v>0</v>
      </c>
      <c r="S6" s="10" t="b">
        <f t="shared" si="11"/>
        <v>0</v>
      </c>
      <c r="T6" s="10" t="b">
        <f t="shared" si="11"/>
        <v>0</v>
      </c>
    </row>
    <row r="7" ht="15.75" customHeight="1">
      <c r="A7" s="5">
        <v>45121.0</v>
      </c>
      <c r="B7" s="6" t="s">
        <v>21</v>
      </c>
      <c r="C7" s="5">
        <v>45117.0</v>
      </c>
      <c r="D7" s="7">
        <v>3514.65</v>
      </c>
      <c r="E7" s="7">
        <v>3463.3</v>
      </c>
      <c r="F7" s="8">
        <v>3423.98</v>
      </c>
      <c r="G7" s="8">
        <v>3417.228</v>
      </c>
      <c r="H7" s="8">
        <v>3411.38448275862</v>
      </c>
      <c r="I7" s="11"/>
      <c r="J7" s="11"/>
      <c r="K7" s="9">
        <f t="shared" si="2"/>
        <v>-0.01135333353</v>
      </c>
      <c r="L7" s="9">
        <f t="shared" si="3"/>
        <v>-0.01330291918</v>
      </c>
      <c r="M7" s="9">
        <f t="shared" si="4"/>
        <v>-0.01499018775</v>
      </c>
      <c r="N7" s="9"/>
      <c r="O7" s="9"/>
      <c r="P7" s="10" t="b">
        <f t="shared" ref="P7:R7" si="12">F7&gt;$E7</f>
        <v>0</v>
      </c>
      <c r="Q7" s="10" t="b">
        <f t="shared" si="12"/>
        <v>0</v>
      </c>
      <c r="R7" s="10" t="b">
        <f t="shared" si="12"/>
        <v>0</v>
      </c>
      <c r="S7" s="10"/>
      <c r="T7" s="10"/>
    </row>
    <row r="8" ht="15.75" customHeight="1">
      <c r="A8" s="5">
        <v>45142.0</v>
      </c>
      <c r="B8" s="6" t="s">
        <v>21</v>
      </c>
      <c r="C8" s="5">
        <v>45138.0</v>
      </c>
      <c r="D8" s="7">
        <v>3443.55</v>
      </c>
      <c r="E8" s="7">
        <v>3442.1</v>
      </c>
      <c r="F8" s="11"/>
      <c r="G8" s="11"/>
      <c r="H8" s="11"/>
      <c r="I8" s="11"/>
      <c r="J8" s="11"/>
      <c r="K8" s="9"/>
      <c r="L8" s="9"/>
      <c r="M8" s="9"/>
      <c r="N8" s="9"/>
      <c r="O8" s="9"/>
      <c r="P8" s="10"/>
      <c r="Q8" s="10"/>
      <c r="R8" s="10"/>
      <c r="S8" s="10"/>
      <c r="T8" s="10"/>
    </row>
    <row r="9" ht="15.75" customHeight="1">
      <c r="A9" s="5">
        <v>45014.0</v>
      </c>
      <c r="B9" s="6" t="s">
        <v>22</v>
      </c>
      <c r="C9" s="5">
        <v>45012.0</v>
      </c>
      <c r="D9" s="7">
        <v>1587.8</v>
      </c>
      <c r="E9" s="7">
        <v>1666.35</v>
      </c>
      <c r="F9" s="8">
        <v>1672.6525</v>
      </c>
      <c r="G9" s="8">
        <v>1669.97</v>
      </c>
      <c r="H9" s="8">
        <v>1665.26166666666</v>
      </c>
      <c r="I9" s="8">
        <v>1659.18</v>
      </c>
      <c r="J9" s="8">
        <v>1652.41124999999</v>
      </c>
      <c r="K9" s="9">
        <f t="shared" ref="K9:K12" si="14">((F9-E9)/E9)</f>
        <v>0.003782218622</v>
      </c>
      <c r="L9" s="9">
        <f t="shared" ref="L9:L12" si="15">((G9-E9)/E9)</f>
        <v>0.002172412758</v>
      </c>
      <c r="M9" s="9">
        <f t="shared" ref="M9:M12" si="16">((H9-E9)/E9)</f>
        <v>-0.0006531240936</v>
      </c>
      <c r="N9" s="9">
        <f t="shared" ref="N9:N12" si="17">((I9-E9)/E9)</f>
        <v>-0.004302817535</v>
      </c>
      <c r="O9" s="9">
        <f t="shared" ref="O9:O12" si="18">((J9-E9)/E9)</f>
        <v>-0.008364839319</v>
      </c>
      <c r="P9" s="10" t="b">
        <f t="shared" ref="P9:T9" si="13">F9&gt;$E9</f>
        <v>1</v>
      </c>
      <c r="Q9" s="10" t="b">
        <f t="shared" si="13"/>
        <v>1</v>
      </c>
      <c r="R9" s="10" t="b">
        <f t="shared" si="13"/>
        <v>0</v>
      </c>
      <c r="S9" s="10" t="b">
        <f t="shared" si="13"/>
        <v>0</v>
      </c>
      <c r="T9" s="10" t="b">
        <f t="shared" si="13"/>
        <v>0</v>
      </c>
    </row>
    <row r="10" ht="15.75" customHeight="1">
      <c r="A10" s="5">
        <v>45021.0</v>
      </c>
      <c r="B10" s="6" t="s">
        <v>22</v>
      </c>
      <c r="C10" s="5">
        <v>45019.0</v>
      </c>
      <c r="D10" s="7">
        <v>1653.75</v>
      </c>
      <c r="E10" s="7">
        <v>1684.9</v>
      </c>
      <c r="F10" s="8">
        <v>1670.975</v>
      </c>
      <c r="G10" s="8">
        <v>1666.918</v>
      </c>
      <c r="H10" s="8">
        <v>1659.74666666666</v>
      </c>
      <c r="I10" s="8">
        <v>1653.88571428571</v>
      </c>
      <c r="J10" s="8">
        <v>1647.92</v>
      </c>
      <c r="K10" s="9">
        <f t="shared" si="14"/>
        <v>-0.008264585435</v>
      </c>
      <c r="L10" s="9">
        <f t="shared" si="15"/>
        <v>-0.01067244347</v>
      </c>
      <c r="M10" s="9">
        <f t="shared" si="16"/>
        <v>-0.01492868024</v>
      </c>
      <c r="N10" s="9">
        <f t="shared" si="17"/>
        <v>-0.0184071967</v>
      </c>
      <c r="O10" s="9">
        <f t="shared" si="18"/>
        <v>-0.02194789008</v>
      </c>
      <c r="P10" s="10" t="b">
        <f t="shared" ref="P10:T10" si="19">F10&gt;$E10</f>
        <v>0</v>
      </c>
      <c r="Q10" s="10" t="b">
        <f t="shared" si="19"/>
        <v>0</v>
      </c>
      <c r="R10" s="10" t="b">
        <f t="shared" si="19"/>
        <v>0</v>
      </c>
      <c r="S10" s="10" t="b">
        <f t="shared" si="19"/>
        <v>0</v>
      </c>
      <c r="T10" s="10" t="b">
        <f t="shared" si="19"/>
        <v>0</v>
      </c>
    </row>
    <row r="11" ht="15.75" customHeight="1">
      <c r="A11" s="5">
        <v>45098.0</v>
      </c>
      <c r="B11" s="6" t="s">
        <v>22</v>
      </c>
      <c r="C11" s="5">
        <v>45096.0</v>
      </c>
      <c r="D11" s="7">
        <v>1635.6</v>
      </c>
      <c r="E11" s="7">
        <v>1658.6</v>
      </c>
      <c r="F11" s="8">
        <v>1675.58999999999</v>
      </c>
      <c r="G11" s="8">
        <v>1671.296</v>
      </c>
      <c r="H11" s="8">
        <v>1667.16333333333</v>
      </c>
      <c r="I11" s="8">
        <v>1659.54142857142</v>
      </c>
      <c r="J11" s="8">
        <v>1650.32</v>
      </c>
      <c r="K11" s="9">
        <f t="shared" si="14"/>
        <v>0.01024357892</v>
      </c>
      <c r="L11" s="9">
        <f t="shared" si="15"/>
        <v>0.007654648499</v>
      </c>
      <c r="M11" s="9">
        <f t="shared" si="16"/>
        <v>0.005162988866</v>
      </c>
      <c r="N11" s="9">
        <f t="shared" si="17"/>
        <v>0.0005676043479</v>
      </c>
      <c r="O11" s="9">
        <f t="shared" si="18"/>
        <v>-0.004992162064</v>
      </c>
      <c r="P11" s="10" t="b">
        <f t="shared" ref="P11:T11" si="20">F11&gt;$E11</f>
        <v>1</v>
      </c>
      <c r="Q11" s="10" t="b">
        <f t="shared" si="20"/>
        <v>1</v>
      </c>
      <c r="R11" s="10" t="b">
        <f t="shared" si="20"/>
        <v>1</v>
      </c>
      <c r="S11" s="10" t="b">
        <f t="shared" si="20"/>
        <v>1</v>
      </c>
      <c r="T11" s="10" t="b">
        <f t="shared" si="20"/>
        <v>0</v>
      </c>
    </row>
    <row r="12" ht="15.75" customHeight="1">
      <c r="A12" s="5">
        <v>45041.0</v>
      </c>
      <c r="B12" s="6" t="s">
        <v>23</v>
      </c>
      <c r="C12" s="5">
        <v>45040.0</v>
      </c>
      <c r="D12" s="7">
        <v>913.45</v>
      </c>
      <c r="E12" s="7">
        <v>922.1</v>
      </c>
      <c r="F12" s="8">
        <v>941.4125</v>
      </c>
      <c r="G12" s="8">
        <v>941.62</v>
      </c>
      <c r="H12" s="8">
        <v>941.205</v>
      </c>
      <c r="I12" s="8">
        <v>939.584285714285</v>
      </c>
      <c r="J12" s="8">
        <v>938.07375</v>
      </c>
      <c r="K12" s="9">
        <f t="shared" si="14"/>
        <v>0.02094404078</v>
      </c>
      <c r="L12" s="9">
        <f t="shared" si="15"/>
        <v>0.0211690706</v>
      </c>
      <c r="M12" s="9">
        <f t="shared" si="16"/>
        <v>0.02071901095</v>
      </c>
      <c r="N12" s="9">
        <f t="shared" si="17"/>
        <v>0.01896137698</v>
      </c>
      <c r="O12" s="9">
        <f t="shared" si="18"/>
        <v>0.01732322958</v>
      </c>
      <c r="P12" s="10" t="b">
        <f t="shared" ref="P12:T12" si="21">F12&gt;$E12</f>
        <v>1</v>
      </c>
      <c r="Q12" s="10" t="b">
        <f t="shared" si="21"/>
        <v>1</v>
      </c>
      <c r="R12" s="10" t="b">
        <f t="shared" si="21"/>
        <v>1</v>
      </c>
      <c r="S12" s="10" t="b">
        <f t="shared" si="21"/>
        <v>1</v>
      </c>
      <c r="T12" s="10" t="b">
        <f t="shared" si="21"/>
        <v>1</v>
      </c>
    </row>
    <row r="13" ht="15.75" customHeight="1">
      <c r="A13" s="5">
        <v>45161.0</v>
      </c>
      <c r="B13" s="6" t="s">
        <v>23</v>
      </c>
      <c r="C13" s="5">
        <v>45159.0</v>
      </c>
      <c r="D13" s="7">
        <v>966.85</v>
      </c>
      <c r="E13" s="7">
        <v>967.75</v>
      </c>
      <c r="F13" s="11"/>
      <c r="G13" s="11"/>
      <c r="H13" s="11"/>
      <c r="I13" s="11"/>
      <c r="J13" s="11"/>
      <c r="K13" s="9"/>
      <c r="L13" s="9"/>
      <c r="M13" s="9"/>
      <c r="N13" s="9"/>
      <c r="O13" s="9"/>
      <c r="P13" s="10"/>
      <c r="Q13" s="10"/>
      <c r="R13" s="10"/>
      <c r="S13" s="10"/>
      <c r="T13" s="10"/>
    </row>
    <row r="14" ht="15.75" customHeight="1">
      <c r="A14" s="5">
        <v>45057.0</v>
      </c>
      <c r="B14" s="6" t="s">
        <v>24</v>
      </c>
      <c r="C14" s="5">
        <v>45054.0</v>
      </c>
      <c r="D14" s="7">
        <v>2592.4</v>
      </c>
      <c r="E14" s="7">
        <v>2661.75</v>
      </c>
      <c r="F14" s="8">
        <v>2661.31499999999</v>
      </c>
      <c r="G14" s="8">
        <v>2666.70399999999</v>
      </c>
      <c r="H14" s="8">
        <v>2663.945</v>
      </c>
      <c r="I14" s="8">
        <v>2671.72857142857</v>
      </c>
      <c r="J14" s="8">
        <v>2671.95</v>
      </c>
      <c r="K14" s="9">
        <f t="shared" ref="K14:K71" si="23">((F14-E14)/E14)</f>
        <v>-0.0001634263173</v>
      </c>
      <c r="L14" s="9">
        <f t="shared" ref="L14:L43" si="24">((G14-E14)/E14)</f>
        <v>0.001861181553</v>
      </c>
      <c r="M14" s="9">
        <f t="shared" ref="M14:M39" si="25">((H14-E14)/E14)</f>
        <v>0.00082464544</v>
      </c>
      <c r="N14" s="9">
        <f t="shared" ref="N14:N27" si="26">((I14-E14)/E14)</f>
        <v>0.003748876276</v>
      </c>
      <c r="O14" s="9">
        <f t="shared" ref="O14:O27" si="27">((J14-E14)/E14)</f>
        <v>0.003832065371</v>
      </c>
      <c r="P14" s="10" t="b">
        <f t="shared" ref="P14:T14" si="22">F14&gt;$E14</f>
        <v>0</v>
      </c>
      <c r="Q14" s="10" t="b">
        <f t="shared" si="22"/>
        <v>1</v>
      </c>
      <c r="R14" s="10" t="b">
        <f t="shared" si="22"/>
        <v>1</v>
      </c>
      <c r="S14" s="10" t="b">
        <f t="shared" si="22"/>
        <v>1</v>
      </c>
      <c r="T14" s="10" t="b">
        <f t="shared" si="22"/>
        <v>1</v>
      </c>
    </row>
    <row r="15" ht="15.75" customHeight="1">
      <c r="A15" s="5">
        <v>45078.0</v>
      </c>
      <c r="B15" s="6" t="s">
        <v>24</v>
      </c>
      <c r="C15" s="5">
        <v>45075.0</v>
      </c>
      <c r="D15" s="7">
        <v>2697.9</v>
      </c>
      <c r="E15" s="7">
        <v>2716.2</v>
      </c>
      <c r="F15" s="8">
        <v>2680.91999999999</v>
      </c>
      <c r="G15" s="8">
        <v>2679.43599999999</v>
      </c>
      <c r="H15" s="8">
        <v>2680.07166666666</v>
      </c>
      <c r="I15" s="8">
        <v>2665.93428571428</v>
      </c>
      <c r="J15" s="8">
        <v>2653.11125</v>
      </c>
      <c r="K15" s="9">
        <f t="shared" si="23"/>
        <v>-0.01298873426</v>
      </c>
      <c r="L15" s="9">
        <f t="shared" si="24"/>
        <v>-0.01353508578</v>
      </c>
      <c r="M15" s="9">
        <f t="shared" si="25"/>
        <v>-0.01330105785</v>
      </c>
      <c r="N15" s="9">
        <f t="shared" si="26"/>
        <v>-0.01850589584</v>
      </c>
      <c r="O15" s="9">
        <f t="shared" si="27"/>
        <v>-0.02322684265</v>
      </c>
      <c r="P15" s="10" t="b">
        <f t="shared" ref="P15:T15" si="28">F15&gt;$E15</f>
        <v>0</v>
      </c>
      <c r="Q15" s="10" t="b">
        <f t="shared" si="28"/>
        <v>0</v>
      </c>
      <c r="R15" s="10" t="b">
        <f t="shared" si="28"/>
        <v>0</v>
      </c>
      <c r="S15" s="10" t="b">
        <f t="shared" si="28"/>
        <v>0</v>
      </c>
      <c r="T15" s="10" t="b">
        <f t="shared" si="28"/>
        <v>0</v>
      </c>
    </row>
    <row r="16" ht="15.75" customHeight="1">
      <c r="A16" s="5">
        <v>44959.0</v>
      </c>
      <c r="B16" s="6" t="s">
        <v>25</v>
      </c>
      <c r="C16" s="5">
        <v>44956.0</v>
      </c>
      <c r="D16" s="7">
        <v>1583.75</v>
      </c>
      <c r="E16" s="7">
        <v>1590.5</v>
      </c>
      <c r="F16" s="8">
        <v>1546.445</v>
      </c>
      <c r="G16" s="8">
        <v>1523.17199999999</v>
      </c>
      <c r="H16" s="8">
        <v>1501.93833333333</v>
      </c>
      <c r="I16" s="8">
        <v>1486.19571428571</v>
      </c>
      <c r="J16" s="8">
        <v>1477.6725</v>
      </c>
      <c r="K16" s="9">
        <f t="shared" si="23"/>
        <v>-0.02769883684</v>
      </c>
      <c r="L16" s="9">
        <f t="shared" si="24"/>
        <v>-0.04233134235</v>
      </c>
      <c r="M16" s="9">
        <f t="shared" si="25"/>
        <v>-0.05568165147</v>
      </c>
      <c r="N16" s="9">
        <f t="shared" si="26"/>
        <v>-0.06557955719</v>
      </c>
      <c r="O16" s="9">
        <f t="shared" si="27"/>
        <v>-0.07093838416</v>
      </c>
      <c r="P16" s="10" t="b">
        <f t="shared" ref="P16:T16" si="29">F16&gt;$E16</f>
        <v>0</v>
      </c>
      <c r="Q16" s="10" t="b">
        <f t="shared" si="29"/>
        <v>0</v>
      </c>
      <c r="R16" s="10" t="b">
        <f t="shared" si="29"/>
        <v>0</v>
      </c>
      <c r="S16" s="10" t="b">
        <f t="shared" si="29"/>
        <v>0</v>
      </c>
      <c r="T16" s="10" t="b">
        <f t="shared" si="29"/>
        <v>0</v>
      </c>
    </row>
    <row r="17" ht="15.75" customHeight="1">
      <c r="A17" s="5">
        <v>45016.0</v>
      </c>
      <c r="B17" s="6" t="s">
        <v>25</v>
      </c>
      <c r="C17" s="5">
        <v>45012.0</v>
      </c>
      <c r="D17" s="7">
        <v>1427.95</v>
      </c>
      <c r="E17" s="7">
        <v>1427.6</v>
      </c>
      <c r="F17" s="8">
        <v>1274.04</v>
      </c>
      <c r="G17" s="8">
        <v>1270.06599999999</v>
      </c>
      <c r="H17" s="8">
        <v>1271.935</v>
      </c>
      <c r="I17" s="8">
        <v>1278.18285714285</v>
      </c>
      <c r="J17" s="8">
        <v>1280.68375</v>
      </c>
      <c r="K17" s="9">
        <f t="shared" si="23"/>
        <v>-0.1075651443</v>
      </c>
      <c r="L17" s="9">
        <f t="shared" si="24"/>
        <v>-0.1103488372</v>
      </c>
      <c r="M17" s="9">
        <f t="shared" si="25"/>
        <v>-0.109039647</v>
      </c>
      <c r="N17" s="9">
        <f t="shared" si="26"/>
        <v>-0.104663171</v>
      </c>
      <c r="O17" s="9">
        <f t="shared" si="27"/>
        <v>-0.1029113547</v>
      </c>
      <c r="P17" s="10" t="b">
        <f t="shared" ref="P17:T17" si="30">F17&gt;$E17</f>
        <v>0</v>
      </c>
      <c r="Q17" s="10" t="b">
        <f t="shared" si="30"/>
        <v>0</v>
      </c>
      <c r="R17" s="10" t="b">
        <f t="shared" si="30"/>
        <v>0</v>
      </c>
      <c r="S17" s="10" t="b">
        <f t="shared" si="30"/>
        <v>0</v>
      </c>
      <c r="T17" s="10" t="b">
        <f t="shared" si="30"/>
        <v>0</v>
      </c>
    </row>
    <row r="18" ht="15.75" customHeight="1">
      <c r="A18" s="5">
        <v>45068.0</v>
      </c>
      <c r="B18" s="6" t="s">
        <v>25</v>
      </c>
      <c r="C18" s="5">
        <v>45068.0</v>
      </c>
      <c r="D18" s="7">
        <v>1292.8</v>
      </c>
      <c r="E18" s="7">
        <v>1317.45</v>
      </c>
      <c r="F18" s="8">
        <v>1295.76</v>
      </c>
      <c r="G18" s="8">
        <v>1296.522</v>
      </c>
      <c r="H18" s="8">
        <v>1303.625</v>
      </c>
      <c r="I18" s="8">
        <v>1314.41857142857</v>
      </c>
      <c r="J18" s="8">
        <v>1326.8125</v>
      </c>
      <c r="K18" s="9">
        <f t="shared" si="23"/>
        <v>-0.01646362291</v>
      </c>
      <c r="L18" s="9">
        <f t="shared" si="24"/>
        <v>-0.01588523284</v>
      </c>
      <c r="M18" s="9">
        <f t="shared" si="25"/>
        <v>-0.01049375688</v>
      </c>
      <c r="N18" s="9">
        <f t="shared" si="26"/>
        <v>-0.002300981875</v>
      </c>
      <c r="O18" s="9">
        <f t="shared" si="27"/>
        <v>0.007106531557</v>
      </c>
      <c r="P18" s="10" t="b">
        <f t="shared" ref="P18:T18" si="31">F18&gt;$E18</f>
        <v>0</v>
      </c>
      <c r="Q18" s="10" t="b">
        <f t="shared" si="31"/>
        <v>0</v>
      </c>
      <c r="R18" s="10" t="b">
        <f t="shared" si="31"/>
        <v>0</v>
      </c>
      <c r="S18" s="10" t="b">
        <f t="shared" si="31"/>
        <v>0</v>
      </c>
      <c r="T18" s="10" t="b">
        <f t="shared" si="31"/>
        <v>1</v>
      </c>
    </row>
    <row r="19" ht="15.75" customHeight="1">
      <c r="A19" s="5">
        <v>45107.0</v>
      </c>
      <c r="B19" s="6" t="s">
        <v>25</v>
      </c>
      <c r="C19" s="5">
        <v>45103.0</v>
      </c>
      <c r="D19" s="7">
        <v>1335.5</v>
      </c>
      <c r="E19" s="7">
        <v>1343.9</v>
      </c>
      <c r="F19" s="8">
        <v>1372.1125</v>
      </c>
      <c r="G19" s="8">
        <v>1375.492</v>
      </c>
      <c r="H19" s="8">
        <v>1379.05166666666</v>
      </c>
      <c r="I19" s="8">
        <v>1383.78142857142</v>
      </c>
      <c r="J19" s="8">
        <v>1388.10897435897</v>
      </c>
      <c r="K19" s="9">
        <f t="shared" si="23"/>
        <v>0.02099300543</v>
      </c>
      <c r="L19" s="9">
        <f t="shared" si="24"/>
        <v>0.02350770147</v>
      </c>
      <c r="M19" s="9">
        <f t="shared" si="25"/>
        <v>0.02615646005</v>
      </c>
      <c r="N19" s="9">
        <f t="shared" si="26"/>
        <v>0.02967589</v>
      </c>
      <c r="O19" s="9">
        <f t="shared" si="27"/>
        <v>0.03289602973</v>
      </c>
      <c r="P19" s="10" t="b">
        <f t="shared" ref="P19:T19" si="32">F19&gt;$E19</f>
        <v>1</v>
      </c>
      <c r="Q19" s="10" t="b">
        <f t="shared" si="32"/>
        <v>1</v>
      </c>
      <c r="R19" s="10" t="b">
        <f t="shared" si="32"/>
        <v>1</v>
      </c>
      <c r="S19" s="10" t="b">
        <f t="shared" si="32"/>
        <v>1</v>
      </c>
      <c r="T19" s="10" t="b">
        <f t="shared" si="32"/>
        <v>1</v>
      </c>
    </row>
    <row r="20" ht="15.75" customHeight="1">
      <c r="A20" s="5">
        <v>44950.0</v>
      </c>
      <c r="B20" s="6" t="s">
        <v>26</v>
      </c>
      <c r="C20" s="5">
        <v>44949.0</v>
      </c>
      <c r="D20" s="7">
        <v>338.95</v>
      </c>
      <c r="E20" s="7">
        <v>352.35</v>
      </c>
      <c r="F20" s="8">
        <v>379.45</v>
      </c>
      <c r="G20" s="8">
        <v>380.35</v>
      </c>
      <c r="H20" s="8">
        <v>380.9</v>
      </c>
      <c r="I20" s="8">
        <v>380.5</v>
      </c>
      <c r="J20" s="8">
        <v>380.48875</v>
      </c>
      <c r="K20" s="9">
        <f t="shared" si="23"/>
        <v>0.0769121612</v>
      </c>
      <c r="L20" s="9">
        <f t="shared" si="24"/>
        <v>0.07946643962</v>
      </c>
      <c r="M20" s="9">
        <f t="shared" si="25"/>
        <v>0.08102738754</v>
      </c>
      <c r="N20" s="9">
        <f t="shared" si="26"/>
        <v>0.07989215269</v>
      </c>
      <c r="O20" s="9">
        <f t="shared" si="27"/>
        <v>0.07986022421</v>
      </c>
      <c r="P20" s="10" t="b">
        <f t="shared" ref="P20:T20" si="33">F20&gt;$E20</f>
        <v>1</v>
      </c>
      <c r="Q20" s="10" t="b">
        <f t="shared" si="33"/>
        <v>1</v>
      </c>
      <c r="R20" s="10" t="b">
        <f t="shared" si="33"/>
        <v>1</v>
      </c>
      <c r="S20" s="10" t="b">
        <f t="shared" si="33"/>
        <v>1</v>
      </c>
      <c r="T20" s="10" t="b">
        <f t="shared" si="33"/>
        <v>1</v>
      </c>
    </row>
    <row r="21" ht="15.75" customHeight="1">
      <c r="A21" s="5">
        <v>45027.0</v>
      </c>
      <c r="B21" s="6" t="s">
        <v>26</v>
      </c>
      <c r="C21" s="5">
        <v>45026.0</v>
      </c>
      <c r="D21" s="7">
        <v>396.0</v>
      </c>
      <c r="E21" s="7">
        <v>398.5</v>
      </c>
      <c r="F21" s="8">
        <v>419.355</v>
      </c>
      <c r="G21" s="8">
        <v>420.562</v>
      </c>
      <c r="H21" s="8">
        <v>424.776666666666</v>
      </c>
      <c r="I21" s="8">
        <v>427.251428571428</v>
      </c>
      <c r="J21" s="8">
        <v>429.05</v>
      </c>
      <c r="K21" s="9">
        <f t="shared" si="23"/>
        <v>0.05233375157</v>
      </c>
      <c r="L21" s="9">
        <f t="shared" si="24"/>
        <v>0.05536260979</v>
      </c>
      <c r="M21" s="9">
        <f t="shared" si="25"/>
        <v>0.06593893768</v>
      </c>
      <c r="N21" s="9">
        <f t="shared" si="26"/>
        <v>0.07214913067</v>
      </c>
      <c r="O21" s="9">
        <f t="shared" si="27"/>
        <v>0.07666248432</v>
      </c>
      <c r="P21" s="10" t="b">
        <f t="shared" ref="P21:T21" si="34">F21&gt;$E21</f>
        <v>1</v>
      </c>
      <c r="Q21" s="10" t="b">
        <f t="shared" si="34"/>
        <v>1</v>
      </c>
      <c r="R21" s="10" t="b">
        <f t="shared" si="34"/>
        <v>1</v>
      </c>
      <c r="S21" s="10" t="b">
        <f t="shared" si="34"/>
        <v>1</v>
      </c>
      <c r="T21" s="10" t="b">
        <f t="shared" si="34"/>
        <v>1</v>
      </c>
    </row>
    <row r="22" ht="15.75" customHeight="1">
      <c r="A22" s="5">
        <v>45037.0</v>
      </c>
      <c r="B22" s="6" t="s">
        <v>26</v>
      </c>
      <c r="C22" s="5">
        <v>45033.0</v>
      </c>
      <c r="D22" s="7">
        <v>408.25</v>
      </c>
      <c r="E22" s="7">
        <v>416.0</v>
      </c>
      <c r="F22" s="8">
        <v>427.15</v>
      </c>
      <c r="G22" s="8">
        <v>430.823999999999</v>
      </c>
      <c r="H22" s="8">
        <v>432.644999999999</v>
      </c>
      <c r="I22" s="8">
        <v>434.497142857142</v>
      </c>
      <c r="J22" s="8">
        <v>436.3325</v>
      </c>
      <c r="K22" s="9">
        <f t="shared" si="23"/>
        <v>0.02680288462</v>
      </c>
      <c r="L22" s="9">
        <f t="shared" si="24"/>
        <v>0.03563461538</v>
      </c>
      <c r="M22" s="9">
        <f t="shared" si="25"/>
        <v>0.04001201923</v>
      </c>
      <c r="N22" s="9">
        <f t="shared" si="26"/>
        <v>0.04446428571</v>
      </c>
      <c r="O22" s="9">
        <f t="shared" si="27"/>
        <v>0.04887620192</v>
      </c>
      <c r="P22" s="10" t="b">
        <f t="shared" ref="P22:T22" si="35">F22&gt;$E22</f>
        <v>1</v>
      </c>
      <c r="Q22" s="10" t="b">
        <f t="shared" si="35"/>
        <v>1</v>
      </c>
      <c r="R22" s="10" t="b">
        <f t="shared" si="35"/>
        <v>1</v>
      </c>
      <c r="S22" s="10" t="b">
        <f t="shared" si="35"/>
        <v>1</v>
      </c>
      <c r="T22" s="10" t="b">
        <f t="shared" si="35"/>
        <v>1</v>
      </c>
    </row>
    <row r="23" ht="15.75" customHeight="1">
      <c r="A23" s="5">
        <v>45043.0</v>
      </c>
      <c r="B23" s="6" t="s">
        <v>26</v>
      </c>
      <c r="C23" s="5">
        <v>45040.0</v>
      </c>
      <c r="D23" s="7">
        <v>416.0</v>
      </c>
      <c r="E23" s="7">
        <v>424.6</v>
      </c>
      <c r="F23" s="8">
        <v>431.2725</v>
      </c>
      <c r="G23" s="8">
        <v>433.566</v>
      </c>
      <c r="H23" s="8">
        <v>435.085</v>
      </c>
      <c r="I23" s="8">
        <v>437.337142857142</v>
      </c>
      <c r="J23" s="8">
        <v>438.47625</v>
      </c>
      <c r="K23" s="9">
        <f t="shared" si="23"/>
        <v>0.01571479039</v>
      </c>
      <c r="L23" s="9">
        <f t="shared" si="24"/>
        <v>0.0211163448</v>
      </c>
      <c r="M23" s="9">
        <f t="shared" si="25"/>
        <v>0.02469382949</v>
      </c>
      <c r="N23" s="9">
        <f t="shared" si="26"/>
        <v>0.02999798129</v>
      </c>
      <c r="O23" s="9">
        <f t="shared" si="27"/>
        <v>0.03268075836</v>
      </c>
      <c r="P23" s="10" t="b">
        <f t="shared" ref="P23:T23" si="36">F23&gt;$E23</f>
        <v>1</v>
      </c>
      <c r="Q23" s="10" t="b">
        <f t="shared" si="36"/>
        <v>1</v>
      </c>
      <c r="R23" s="10" t="b">
        <f t="shared" si="36"/>
        <v>1</v>
      </c>
      <c r="S23" s="10" t="b">
        <f t="shared" si="36"/>
        <v>1</v>
      </c>
      <c r="T23" s="10" t="b">
        <f t="shared" si="36"/>
        <v>1</v>
      </c>
    </row>
    <row r="24" ht="15.75" customHeight="1">
      <c r="A24" s="5">
        <v>45092.0</v>
      </c>
      <c r="B24" s="6" t="s">
        <v>26</v>
      </c>
      <c r="C24" s="5">
        <v>45089.0</v>
      </c>
      <c r="D24" s="7">
        <v>448.1</v>
      </c>
      <c r="E24" s="7">
        <v>447.05</v>
      </c>
      <c r="F24" s="8">
        <v>464.9475</v>
      </c>
      <c r="G24" s="8">
        <v>466.414</v>
      </c>
      <c r="H24" s="8">
        <v>465.848333333333</v>
      </c>
      <c r="I24" s="8">
        <v>464.229999999999</v>
      </c>
      <c r="J24" s="8">
        <v>461.9725</v>
      </c>
      <c r="K24" s="9">
        <f t="shared" si="23"/>
        <v>0.04003467174</v>
      </c>
      <c r="L24" s="9">
        <f t="shared" si="24"/>
        <v>0.04331506543</v>
      </c>
      <c r="M24" s="9">
        <f t="shared" si="25"/>
        <v>0.04204973344</v>
      </c>
      <c r="N24" s="9">
        <f t="shared" si="26"/>
        <v>0.03842970585</v>
      </c>
      <c r="O24" s="9">
        <f t="shared" si="27"/>
        <v>0.03337993513</v>
      </c>
      <c r="P24" s="10" t="b">
        <f t="shared" ref="P24:T24" si="37">F24&gt;$E24</f>
        <v>1</v>
      </c>
      <c r="Q24" s="10" t="b">
        <f t="shared" si="37"/>
        <v>1</v>
      </c>
      <c r="R24" s="10" t="b">
        <f t="shared" si="37"/>
        <v>1</v>
      </c>
      <c r="S24" s="10" t="b">
        <f t="shared" si="37"/>
        <v>1</v>
      </c>
      <c r="T24" s="10" t="b">
        <f t="shared" si="37"/>
        <v>1</v>
      </c>
    </row>
    <row r="25" ht="15.75" customHeight="1">
      <c r="A25" s="5">
        <v>45110.0</v>
      </c>
      <c r="B25" s="6" t="s">
        <v>26</v>
      </c>
      <c r="C25" s="5">
        <v>45110.0</v>
      </c>
      <c r="D25" s="7">
        <v>463.25</v>
      </c>
      <c r="E25" s="7">
        <v>468.4</v>
      </c>
      <c r="F25" s="8">
        <v>470.175</v>
      </c>
      <c r="G25" s="8">
        <v>466.796</v>
      </c>
      <c r="H25" s="8">
        <v>463.326666666666</v>
      </c>
      <c r="I25" s="8">
        <v>461.147142857142</v>
      </c>
      <c r="J25" s="8">
        <v>459.546052631578</v>
      </c>
      <c r="K25" s="9">
        <f t="shared" si="23"/>
        <v>0.003789496157</v>
      </c>
      <c r="L25" s="9">
        <f t="shared" si="24"/>
        <v>-0.00342442357</v>
      </c>
      <c r="M25" s="9">
        <f t="shared" si="25"/>
        <v>-0.01083119841</v>
      </c>
      <c r="N25" s="9">
        <f t="shared" si="26"/>
        <v>-0.01548432353</v>
      </c>
      <c r="O25" s="9">
        <f t="shared" si="27"/>
        <v>-0.01890253495</v>
      </c>
      <c r="P25" s="10" t="b">
        <f t="shared" ref="P25:T25" si="38">F25&gt;$E25</f>
        <v>1</v>
      </c>
      <c r="Q25" s="10" t="b">
        <f t="shared" si="38"/>
        <v>0</v>
      </c>
      <c r="R25" s="10" t="b">
        <f t="shared" si="38"/>
        <v>0</v>
      </c>
      <c r="S25" s="10" t="b">
        <f t="shared" si="38"/>
        <v>0</v>
      </c>
      <c r="T25" s="10" t="b">
        <f t="shared" si="38"/>
        <v>0</v>
      </c>
    </row>
    <row r="26" ht="15.75" customHeight="1">
      <c r="A26" s="5">
        <v>45016.0</v>
      </c>
      <c r="B26" s="6" t="s">
        <v>27</v>
      </c>
      <c r="C26" s="5">
        <v>45012.0</v>
      </c>
      <c r="D26" s="7">
        <v>523.75</v>
      </c>
      <c r="E26" s="7">
        <v>526.3</v>
      </c>
      <c r="F26" s="8">
        <v>558.4375</v>
      </c>
      <c r="G26" s="8">
        <v>562.993999999999</v>
      </c>
      <c r="H26" s="8">
        <v>565.521666666666</v>
      </c>
      <c r="I26" s="8">
        <v>568.587142857142</v>
      </c>
      <c r="J26" s="8">
        <v>570.80625</v>
      </c>
      <c r="K26" s="9">
        <f t="shared" si="23"/>
        <v>0.06106308189</v>
      </c>
      <c r="L26" s="9">
        <f t="shared" si="24"/>
        <v>0.06972069162</v>
      </c>
      <c r="M26" s="9">
        <f t="shared" si="25"/>
        <v>0.07452340237</v>
      </c>
      <c r="N26" s="9">
        <f t="shared" si="26"/>
        <v>0.08034798187</v>
      </c>
      <c r="O26" s="9">
        <f t="shared" si="27"/>
        <v>0.08456441193</v>
      </c>
      <c r="P26" s="10" t="b">
        <f t="shared" ref="P26:T26" si="39">F26&gt;$E26</f>
        <v>1</v>
      </c>
      <c r="Q26" s="10" t="b">
        <f t="shared" si="39"/>
        <v>1</v>
      </c>
      <c r="R26" s="10" t="b">
        <f t="shared" si="39"/>
        <v>1</v>
      </c>
      <c r="S26" s="10" t="b">
        <f t="shared" si="39"/>
        <v>1</v>
      </c>
      <c r="T26" s="10" t="b">
        <f t="shared" si="39"/>
        <v>1</v>
      </c>
    </row>
    <row r="27" ht="15.75" customHeight="1">
      <c r="A27" s="5">
        <v>45110.0</v>
      </c>
      <c r="B27" s="6" t="s">
        <v>27</v>
      </c>
      <c r="C27" s="5">
        <v>45110.0</v>
      </c>
      <c r="D27" s="7">
        <v>585.45</v>
      </c>
      <c r="E27" s="7">
        <v>593.6</v>
      </c>
      <c r="F27" s="8">
        <v>601.49</v>
      </c>
      <c r="G27" s="8">
        <v>595.694</v>
      </c>
      <c r="H27" s="8">
        <v>591.176666666666</v>
      </c>
      <c r="I27" s="8">
        <v>588.584285714285</v>
      </c>
      <c r="J27" s="8">
        <v>586.948684210526</v>
      </c>
      <c r="K27" s="9">
        <f t="shared" si="23"/>
        <v>0.01329177898</v>
      </c>
      <c r="L27" s="9">
        <f t="shared" si="24"/>
        <v>0.003527628032</v>
      </c>
      <c r="M27" s="9">
        <f t="shared" si="25"/>
        <v>-0.004082434861</v>
      </c>
      <c r="N27" s="9">
        <f t="shared" si="26"/>
        <v>-0.008449653446</v>
      </c>
      <c r="O27" s="9">
        <f t="shared" si="27"/>
        <v>-0.01120504682</v>
      </c>
      <c r="P27" s="10" t="b">
        <f t="shared" ref="P27:T27" si="40">F27&gt;$E27</f>
        <v>1</v>
      </c>
      <c r="Q27" s="10" t="b">
        <f t="shared" si="40"/>
        <v>1</v>
      </c>
      <c r="R27" s="10" t="b">
        <f t="shared" si="40"/>
        <v>0</v>
      </c>
      <c r="S27" s="10" t="b">
        <f t="shared" si="40"/>
        <v>0</v>
      </c>
      <c r="T27" s="10" t="b">
        <f t="shared" si="40"/>
        <v>0</v>
      </c>
    </row>
    <row r="28" ht="15.75" customHeight="1">
      <c r="A28" s="5">
        <v>45126.0</v>
      </c>
      <c r="B28" s="6" t="s">
        <v>27</v>
      </c>
      <c r="C28" s="5">
        <v>45124.0</v>
      </c>
      <c r="D28" s="7">
        <v>601.45</v>
      </c>
      <c r="E28" s="7">
        <v>609.6</v>
      </c>
      <c r="F28" s="8">
        <v>584.6475</v>
      </c>
      <c r="G28" s="8">
        <v>582.198</v>
      </c>
      <c r="H28" s="8">
        <v>581.396153846153</v>
      </c>
      <c r="I28" s="11"/>
      <c r="J28" s="11"/>
      <c r="K28" s="9">
        <f t="shared" si="23"/>
        <v>-0.04093257874</v>
      </c>
      <c r="L28" s="9">
        <f t="shared" si="24"/>
        <v>-0.0449507874</v>
      </c>
      <c r="M28" s="9">
        <f t="shared" si="25"/>
        <v>-0.04626615183</v>
      </c>
      <c r="N28" s="9"/>
      <c r="O28" s="9"/>
      <c r="P28" s="10" t="b">
        <f t="shared" ref="P28:R28" si="41">F28&gt;$E28</f>
        <v>0</v>
      </c>
      <c r="Q28" s="10" t="b">
        <f t="shared" si="41"/>
        <v>0</v>
      </c>
      <c r="R28" s="10" t="b">
        <f t="shared" si="41"/>
        <v>0</v>
      </c>
      <c r="S28" s="10"/>
      <c r="T28" s="10"/>
    </row>
    <row r="29" ht="15.75" customHeight="1">
      <c r="A29" s="5">
        <v>45100.0</v>
      </c>
      <c r="B29" s="6" t="s">
        <v>28</v>
      </c>
      <c r="C29" s="5">
        <v>45096.0</v>
      </c>
      <c r="D29" s="7">
        <v>854.8</v>
      </c>
      <c r="E29" s="7">
        <v>878.75</v>
      </c>
      <c r="F29" s="8">
        <v>881.8225</v>
      </c>
      <c r="G29" s="8">
        <v>882.298</v>
      </c>
      <c r="H29" s="8">
        <v>882.11</v>
      </c>
      <c r="I29" s="8">
        <v>879.205714285714</v>
      </c>
      <c r="J29" s="8">
        <v>878.2825</v>
      </c>
      <c r="K29" s="9">
        <f t="shared" si="23"/>
        <v>0.003496443812</v>
      </c>
      <c r="L29" s="9">
        <f t="shared" si="24"/>
        <v>0.004037553343</v>
      </c>
      <c r="M29" s="9">
        <f t="shared" si="25"/>
        <v>0.003823613087</v>
      </c>
      <c r="N29" s="9">
        <f t="shared" ref="N29:N39" si="43">((I29-E29)/E29)</f>
        <v>0.0005185937818</v>
      </c>
      <c r="O29" s="9">
        <f t="shared" ref="O29:O39" si="44">((J29-E29)/E29)</f>
        <v>-0.0005320056899</v>
      </c>
      <c r="P29" s="10" t="b">
        <f t="shared" ref="P29:T29" si="42">F29&gt;$E29</f>
        <v>1</v>
      </c>
      <c r="Q29" s="10" t="b">
        <f t="shared" si="42"/>
        <v>1</v>
      </c>
      <c r="R29" s="10" t="b">
        <f t="shared" si="42"/>
        <v>1</v>
      </c>
      <c r="S29" s="10" t="b">
        <f t="shared" si="42"/>
        <v>1</v>
      </c>
      <c r="T29" s="10" t="b">
        <f t="shared" si="42"/>
        <v>0</v>
      </c>
    </row>
    <row r="30" ht="15.75" customHeight="1">
      <c r="A30" s="5">
        <v>44965.0</v>
      </c>
      <c r="B30" s="6" t="s">
        <v>29</v>
      </c>
      <c r="C30" s="5">
        <v>44963.0</v>
      </c>
      <c r="D30" s="7">
        <v>6351.65</v>
      </c>
      <c r="E30" s="7">
        <v>6458.7</v>
      </c>
      <c r="F30" s="8">
        <v>6128.1675</v>
      </c>
      <c r="G30" s="8">
        <v>6044.236</v>
      </c>
      <c r="H30" s="8">
        <v>5978.03</v>
      </c>
      <c r="I30" s="8">
        <v>5948.42857142857</v>
      </c>
      <c r="J30" s="8">
        <v>5941.78125</v>
      </c>
      <c r="K30" s="9">
        <f t="shared" si="23"/>
        <v>-0.05117632031</v>
      </c>
      <c r="L30" s="9">
        <f t="shared" si="24"/>
        <v>-0.06417142769</v>
      </c>
      <c r="M30" s="9">
        <f t="shared" si="25"/>
        <v>-0.07442209733</v>
      </c>
      <c r="N30" s="9">
        <f t="shared" si="43"/>
        <v>-0.07900528412</v>
      </c>
      <c r="O30" s="9">
        <f t="shared" si="44"/>
        <v>-0.08003448836</v>
      </c>
      <c r="P30" s="10" t="b">
        <f t="shared" ref="P30:T30" si="45">F30&gt;$E30</f>
        <v>0</v>
      </c>
      <c r="Q30" s="10" t="b">
        <f t="shared" si="45"/>
        <v>0</v>
      </c>
      <c r="R30" s="10" t="b">
        <f t="shared" si="45"/>
        <v>0</v>
      </c>
      <c r="S30" s="10" t="b">
        <f t="shared" si="45"/>
        <v>0</v>
      </c>
      <c r="T30" s="10" t="b">
        <f t="shared" si="45"/>
        <v>0</v>
      </c>
    </row>
    <row r="31" ht="15.75" customHeight="1">
      <c r="A31" s="5">
        <v>45041.0</v>
      </c>
      <c r="B31" s="6" t="s">
        <v>29</v>
      </c>
      <c r="C31" s="5">
        <v>45040.0</v>
      </c>
      <c r="D31" s="7">
        <v>6075.25</v>
      </c>
      <c r="E31" s="7">
        <v>6249.15</v>
      </c>
      <c r="F31" s="8">
        <v>6699.925</v>
      </c>
      <c r="G31" s="8">
        <v>6768.396</v>
      </c>
      <c r="H31" s="8">
        <v>6820.05166666666</v>
      </c>
      <c r="I31" s="8">
        <v>6876.09142857142</v>
      </c>
      <c r="J31" s="8">
        <v>6897.67375</v>
      </c>
      <c r="K31" s="9">
        <f t="shared" si="23"/>
        <v>0.0721338102</v>
      </c>
      <c r="L31" s="9">
        <f t="shared" si="24"/>
        <v>0.08309066033</v>
      </c>
      <c r="M31" s="9">
        <f t="shared" si="25"/>
        <v>0.09135669118</v>
      </c>
      <c r="N31" s="9">
        <f t="shared" si="43"/>
        <v>0.1003242727</v>
      </c>
      <c r="O31" s="9">
        <f t="shared" si="44"/>
        <v>0.1037779138</v>
      </c>
      <c r="P31" s="10" t="b">
        <f t="shared" ref="P31:T31" si="46">F31&gt;$E31</f>
        <v>1</v>
      </c>
      <c r="Q31" s="10" t="b">
        <f t="shared" si="46"/>
        <v>1</v>
      </c>
      <c r="R31" s="10" t="b">
        <f t="shared" si="46"/>
        <v>1</v>
      </c>
      <c r="S31" s="10" t="b">
        <f t="shared" si="46"/>
        <v>1</v>
      </c>
      <c r="T31" s="10" t="b">
        <f t="shared" si="46"/>
        <v>1</v>
      </c>
    </row>
    <row r="32" ht="15.75" customHeight="1">
      <c r="A32" s="5">
        <v>45054.0</v>
      </c>
      <c r="B32" s="6" t="s">
        <v>29</v>
      </c>
      <c r="C32" s="5">
        <v>45054.0</v>
      </c>
      <c r="D32" s="7">
        <v>6657.95</v>
      </c>
      <c r="E32" s="7">
        <v>6714.4</v>
      </c>
      <c r="F32" s="8">
        <v>6907.86</v>
      </c>
      <c r="G32" s="8">
        <v>6953.932</v>
      </c>
      <c r="H32" s="8">
        <v>6990.30333333333</v>
      </c>
      <c r="I32" s="8">
        <v>7006.85428571428</v>
      </c>
      <c r="J32" s="8">
        <v>7096.52375</v>
      </c>
      <c r="K32" s="9">
        <f t="shared" si="23"/>
        <v>0.02881270106</v>
      </c>
      <c r="L32" s="9">
        <f t="shared" si="24"/>
        <v>0.0356743715</v>
      </c>
      <c r="M32" s="9">
        <f t="shared" si="25"/>
        <v>0.04109128639</v>
      </c>
      <c r="N32" s="9">
        <f t="shared" si="43"/>
        <v>0.04355627989</v>
      </c>
      <c r="O32" s="9">
        <f t="shared" si="44"/>
        <v>0.05691107917</v>
      </c>
      <c r="P32" s="10" t="b">
        <f t="shared" ref="P32:T32" si="47">F32&gt;$E32</f>
        <v>1</v>
      </c>
      <c r="Q32" s="10" t="b">
        <f t="shared" si="47"/>
        <v>1</v>
      </c>
      <c r="R32" s="10" t="b">
        <f t="shared" si="47"/>
        <v>1</v>
      </c>
      <c r="S32" s="10" t="b">
        <f t="shared" si="47"/>
        <v>1</v>
      </c>
      <c r="T32" s="10" t="b">
        <f t="shared" si="47"/>
        <v>1</v>
      </c>
    </row>
    <row r="33" ht="15.75" customHeight="1">
      <c r="A33" s="5">
        <v>45072.0</v>
      </c>
      <c r="B33" s="6" t="s">
        <v>29</v>
      </c>
      <c r="C33" s="5">
        <v>45068.0</v>
      </c>
      <c r="D33" s="7">
        <v>6904.5</v>
      </c>
      <c r="E33" s="7">
        <v>7040.5</v>
      </c>
      <c r="F33" s="8">
        <v>7102.8975</v>
      </c>
      <c r="G33" s="8">
        <v>7219.15</v>
      </c>
      <c r="H33" s="8">
        <v>7261.49666666666</v>
      </c>
      <c r="I33" s="8">
        <v>7301.11142857142</v>
      </c>
      <c r="J33" s="8">
        <v>7320.64499999999</v>
      </c>
      <c r="K33" s="9">
        <f t="shared" si="23"/>
        <v>0.0088626518</v>
      </c>
      <c r="L33" s="9">
        <f t="shared" si="24"/>
        <v>0.02537461828</v>
      </c>
      <c r="M33" s="9">
        <f t="shared" si="25"/>
        <v>0.03138934261</v>
      </c>
      <c r="N33" s="9">
        <f t="shared" si="43"/>
        <v>0.03701603985</v>
      </c>
      <c r="O33" s="9">
        <f t="shared" si="44"/>
        <v>0.03979049783</v>
      </c>
      <c r="P33" s="10" t="b">
        <f t="shared" ref="P33:T33" si="48">F33&gt;$E33</f>
        <v>1</v>
      </c>
      <c r="Q33" s="10" t="b">
        <f t="shared" si="48"/>
        <v>1</v>
      </c>
      <c r="R33" s="10" t="b">
        <f t="shared" si="48"/>
        <v>1</v>
      </c>
      <c r="S33" s="10" t="b">
        <f t="shared" si="48"/>
        <v>1</v>
      </c>
      <c r="T33" s="10" t="b">
        <f t="shared" si="48"/>
        <v>1</v>
      </c>
    </row>
    <row r="34" ht="15.75" customHeight="1">
      <c r="A34" s="5">
        <v>45076.0</v>
      </c>
      <c r="B34" s="6" t="s">
        <v>29</v>
      </c>
      <c r="C34" s="5">
        <v>45075.0</v>
      </c>
      <c r="D34" s="7">
        <v>7005.8</v>
      </c>
      <c r="E34" s="7">
        <v>7043.2</v>
      </c>
      <c r="F34" s="8">
        <v>7159.21499999999</v>
      </c>
      <c r="G34" s="8">
        <v>7255.556</v>
      </c>
      <c r="H34" s="8">
        <v>7290.29166666666</v>
      </c>
      <c r="I34" s="8">
        <v>7333.13857142857</v>
      </c>
      <c r="J34" s="8">
        <v>7333.2175</v>
      </c>
      <c r="K34" s="9">
        <f t="shared" si="23"/>
        <v>0.01647191617</v>
      </c>
      <c r="L34" s="9">
        <f t="shared" si="24"/>
        <v>0.03015049977</v>
      </c>
      <c r="M34" s="9">
        <f t="shared" si="25"/>
        <v>0.03508230161</v>
      </c>
      <c r="N34" s="9">
        <f t="shared" si="43"/>
        <v>0.04116574447</v>
      </c>
      <c r="O34" s="9">
        <f t="shared" si="44"/>
        <v>0.04117695082</v>
      </c>
      <c r="P34" s="10" t="b">
        <f t="shared" ref="P34:T34" si="49">F34&gt;$E34</f>
        <v>1</v>
      </c>
      <c r="Q34" s="10" t="b">
        <f t="shared" si="49"/>
        <v>1</v>
      </c>
      <c r="R34" s="10" t="b">
        <f t="shared" si="49"/>
        <v>1</v>
      </c>
      <c r="S34" s="10" t="b">
        <f t="shared" si="49"/>
        <v>1</v>
      </c>
      <c r="T34" s="10" t="b">
        <f t="shared" si="49"/>
        <v>1</v>
      </c>
    </row>
    <row r="35" ht="15.75" customHeight="1">
      <c r="A35" s="5">
        <v>45051.0</v>
      </c>
      <c r="B35" s="6" t="s">
        <v>30</v>
      </c>
      <c r="C35" s="5">
        <v>45047.0</v>
      </c>
      <c r="D35" s="7">
        <v>560.05</v>
      </c>
      <c r="E35" s="7">
        <v>561.0</v>
      </c>
      <c r="F35" s="8">
        <v>588.209999999999</v>
      </c>
      <c r="G35" s="8">
        <v>590.18</v>
      </c>
      <c r="H35" s="8">
        <v>596.18</v>
      </c>
      <c r="I35" s="8">
        <v>599.774285714285</v>
      </c>
      <c r="J35" s="8">
        <v>603.1075</v>
      </c>
      <c r="K35" s="9">
        <f t="shared" si="23"/>
        <v>0.0485026738</v>
      </c>
      <c r="L35" s="9">
        <f t="shared" si="24"/>
        <v>0.05201426025</v>
      </c>
      <c r="M35" s="9">
        <f t="shared" si="25"/>
        <v>0.06270944742</v>
      </c>
      <c r="N35" s="9">
        <f t="shared" si="43"/>
        <v>0.06911637382</v>
      </c>
      <c r="O35" s="9">
        <f t="shared" si="44"/>
        <v>0.07505793226</v>
      </c>
      <c r="P35" s="10" t="b">
        <f t="shared" ref="P35:T35" si="50">F35&gt;$E35</f>
        <v>1</v>
      </c>
      <c r="Q35" s="10" t="b">
        <f t="shared" si="50"/>
        <v>1</v>
      </c>
      <c r="R35" s="10" t="b">
        <f t="shared" si="50"/>
        <v>1</v>
      </c>
      <c r="S35" s="10" t="b">
        <f t="shared" si="50"/>
        <v>1</v>
      </c>
      <c r="T35" s="10" t="b">
        <f t="shared" si="50"/>
        <v>1</v>
      </c>
    </row>
    <row r="36" ht="15.75" customHeight="1">
      <c r="A36" s="5">
        <v>45096.0</v>
      </c>
      <c r="B36" s="6" t="s">
        <v>30</v>
      </c>
      <c r="C36" s="5">
        <v>45096.0</v>
      </c>
      <c r="D36" s="7">
        <v>618.3</v>
      </c>
      <c r="E36" s="7">
        <v>624.95</v>
      </c>
      <c r="F36" s="8">
        <v>623.0875</v>
      </c>
      <c r="G36" s="8">
        <v>624.388</v>
      </c>
      <c r="H36" s="8">
        <v>628.56</v>
      </c>
      <c r="I36" s="8">
        <v>631.478571428571</v>
      </c>
      <c r="J36" s="8">
        <v>634.4375</v>
      </c>
      <c r="K36" s="9">
        <f t="shared" si="23"/>
        <v>-0.002980238419</v>
      </c>
      <c r="L36" s="9">
        <f t="shared" si="24"/>
        <v>-0.0008992719418</v>
      </c>
      <c r="M36" s="9">
        <f t="shared" si="25"/>
        <v>0.005776462117</v>
      </c>
      <c r="N36" s="9">
        <f t="shared" si="43"/>
        <v>0.01044655001</v>
      </c>
      <c r="O36" s="9">
        <f t="shared" si="44"/>
        <v>0.0151812145</v>
      </c>
      <c r="P36" s="10" t="b">
        <f t="shared" ref="P36:T36" si="51">F36&gt;$E36</f>
        <v>0</v>
      </c>
      <c r="Q36" s="10" t="b">
        <f t="shared" si="51"/>
        <v>0</v>
      </c>
      <c r="R36" s="10" t="b">
        <f t="shared" si="51"/>
        <v>1</v>
      </c>
      <c r="S36" s="10" t="b">
        <f t="shared" si="51"/>
        <v>1</v>
      </c>
      <c r="T36" s="10" t="b">
        <f t="shared" si="51"/>
        <v>1</v>
      </c>
    </row>
    <row r="37" ht="15.75" customHeight="1">
      <c r="A37" s="5">
        <v>45021.0</v>
      </c>
      <c r="B37" s="6" t="s">
        <v>31</v>
      </c>
      <c r="C37" s="5">
        <v>45019.0</v>
      </c>
      <c r="D37" s="7">
        <v>2257.75</v>
      </c>
      <c r="E37" s="7">
        <v>2288.5</v>
      </c>
      <c r="F37" s="8">
        <v>2291.125</v>
      </c>
      <c r="G37" s="8">
        <v>2275.776</v>
      </c>
      <c r="H37" s="8">
        <v>2263.89833333333</v>
      </c>
      <c r="I37" s="8">
        <v>2257.15142857142</v>
      </c>
      <c r="J37" s="8">
        <v>2264.13375</v>
      </c>
      <c r="K37" s="9">
        <f t="shared" si="23"/>
        <v>0.001147039546</v>
      </c>
      <c r="L37" s="9">
        <f t="shared" si="24"/>
        <v>-0.005559973782</v>
      </c>
      <c r="M37" s="9">
        <f t="shared" si="25"/>
        <v>-0.01075012745</v>
      </c>
      <c r="N37" s="9">
        <f t="shared" si="43"/>
        <v>-0.01369830519</v>
      </c>
      <c r="O37" s="9">
        <f t="shared" si="44"/>
        <v>-0.01064725803</v>
      </c>
      <c r="P37" s="10" t="b">
        <f t="shared" ref="P37:T37" si="52">F37&gt;$E37</f>
        <v>1</v>
      </c>
      <c r="Q37" s="10" t="b">
        <f t="shared" si="52"/>
        <v>0</v>
      </c>
      <c r="R37" s="10" t="b">
        <f t="shared" si="52"/>
        <v>0</v>
      </c>
      <c r="S37" s="10" t="b">
        <f t="shared" si="52"/>
        <v>0</v>
      </c>
      <c r="T37" s="10" t="b">
        <f t="shared" si="52"/>
        <v>0</v>
      </c>
    </row>
    <row r="38" ht="15.75" customHeight="1">
      <c r="A38" s="5">
        <v>45082.0</v>
      </c>
      <c r="B38" s="6" t="s">
        <v>31</v>
      </c>
      <c r="C38" s="5">
        <v>45082.0</v>
      </c>
      <c r="D38" s="7">
        <v>2268.3</v>
      </c>
      <c r="E38" s="7">
        <v>2363.0</v>
      </c>
      <c r="F38" s="8">
        <v>2405.935</v>
      </c>
      <c r="G38" s="8">
        <v>2417.576</v>
      </c>
      <c r="H38" s="8">
        <v>2436.315</v>
      </c>
      <c r="I38" s="8">
        <v>2465.36285714285</v>
      </c>
      <c r="J38" s="8">
        <v>2485.935</v>
      </c>
      <c r="K38" s="9">
        <f t="shared" si="23"/>
        <v>0.01816969953</v>
      </c>
      <c r="L38" s="9">
        <f t="shared" si="24"/>
        <v>0.02309606433</v>
      </c>
      <c r="M38" s="9">
        <f t="shared" si="25"/>
        <v>0.03102623783</v>
      </c>
      <c r="N38" s="9">
        <f t="shared" si="43"/>
        <v>0.04331902545</v>
      </c>
      <c r="O38" s="9">
        <f t="shared" si="44"/>
        <v>0.05202496826</v>
      </c>
      <c r="P38" s="10" t="b">
        <f t="shared" ref="P38:T38" si="53">F38&gt;$E38</f>
        <v>1</v>
      </c>
      <c r="Q38" s="10" t="b">
        <f t="shared" si="53"/>
        <v>1</v>
      </c>
      <c r="R38" s="10" t="b">
        <f t="shared" si="53"/>
        <v>1</v>
      </c>
      <c r="S38" s="10" t="b">
        <f t="shared" si="53"/>
        <v>1</v>
      </c>
      <c r="T38" s="10" t="b">
        <f t="shared" si="53"/>
        <v>1</v>
      </c>
    </row>
    <row r="39" ht="15.75" customHeight="1">
      <c r="A39" s="5">
        <v>45107.0</v>
      </c>
      <c r="B39" s="6" t="s">
        <v>31</v>
      </c>
      <c r="C39" s="5">
        <v>45103.0</v>
      </c>
      <c r="D39" s="7">
        <v>2475.55</v>
      </c>
      <c r="E39" s="7">
        <v>2488.6</v>
      </c>
      <c r="F39" s="8">
        <v>2547.2</v>
      </c>
      <c r="G39" s="8">
        <v>2565.364</v>
      </c>
      <c r="H39" s="8">
        <v>2580.6</v>
      </c>
      <c r="I39" s="8">
        <v>2594.37714285714</v>
      </c>
      <c r="J39" s="8">
        <v>2605.87692307692</v>
      </c>
      <c r="K39" s="9">
        <f t="shared" si="23"/>
        <v>0.02354737603</v>
      </c>
      <c r="L39" s="9">
        <f t="shared" si="24"/>
        <v>0.03084625894</v>
      </c>
      <c r="M39" s="9">
        <f t="shared" si="25"/>
        <v>0.03696857671</v>
      </c>
      <c r="N39" s="9">
        <f t="shared" si="43"/>
        <v>0.04250467848</v>
      </c>
      <c r="O39" s="9">
        <f t="shared" si="44"/>
        <v>0.04712566225</v>
      </c>
      <c r="P39" s="10" t="b">
        <f t="shared" ref="P39:T39" si="54">F39&gt;$E39</f>
        <v>1</v>
      </c>
      <c r="Q39" s="10" t="b">
        <f t="shared" si="54"/>
        <v>1</v>
      </c>
      <c r="R39" s="10" t="b">
        <f t="shared" si="54"/>
        <v>1</v>
      </c>
      <c r="S39" s="10" t="b">
        <f t="shared" si="54"/>
        <v>1</v>
      </c>
      <c r="T39" s="10" t="b">
        <f t="shared" si="54"/>
        <v>1</v>
      </c>
    </row>
    <row r="40" ht="15.75" customHeight="1">
      <c r="A40" s="5">
        <v>45128.0</v>
      </c>
      <c r="B40" s="6" t="s">
        <v>31</v>
      </c>
      <c r="C40" s="5">
        <v>45124.0</v>
      </c>
      <c r="D40" s="7">
        <v>2586.25</v>
      </c>
      <c r="E40" s="7">
        <v>2660.2</v>
      </c>
      <c r="F40" s="8">
        <v>2653.85</v>
      </c>
      <c r="G40" s="8">
        <v>2662.625</v>
      </c>
      <c r="H40" s="11"/>
      <c r="I40" s="11"/>
      <c r="J40" s="11"/>
      <c r="K40" s="9">
        <f t="shared" si="23"/>
        <v>-0.002387038569</v>
      </c>
      <c r="L40" s="9">
        <f t="shared" si="24"/>
        <v>0.0009115855951</v>
      </c>
      <c r="M40" s="9"/>
      <c r="N40" s="9"/>
      <c r="O40" s="9"/>
      <c r="P40" s="10" t="b">
        <f t="shared" ref="P40:Q40" si="55">F40&gt;$E40</f>
        <v>0</v>
      </c>
      <c r="Q40" s="10" t="b">
        <f t="shared" si="55"/>
        <v>1</v>
      </c>
      <c r="R40" s="10"/>
      <c r="S40" s="10"/>
      <c r="T40" s="10"/>
    </row>
    <row r="41" ht="15.75" customHeight="1">
      <c r="A41" s="5">
        <v>44935.0</v>
      </c>
      <c r="B41" s="6" t="s">
        <v>32</v>
      </c>
      <c r="C41" s="5">
        <v>44935.0</v>
      </c>
      <c r="D41" s="7">
        <v>1067.45</v>
      </c>
      <c r="E41" s="7">
        <v>1077.8</v>
      </c>
      <c r="F41" s="8">
        <v>1125.7625</v>
      </c>
      <c r="G41" s="8">
        <v>1125.08</v>
      </c>
      <c r="H41" s="8">
        <v>1119.93166666666</v>
      </c>
      <c r="I41" s="8">
        <v>1117.95142857142</v>
      </c>
      <c r="J41" s="8">
        <v>1116.61375</v>
      </c>
      <c r="K41" s="9">
        <f t="shared" si="23"/>
        <v>0.04450037113</v>
      </c>
      <c r="L41" s="9">
        <f t="shared" si="24"/>
        <v>0.04386713676</v>
      </c>
      <c r="M41" s="9">
        <f t="shared" ref="M41:M43" si="57">((H41-E41)/E41)</f>
        <v>0.03909043113</v>
      </c>
      <c r="N41" s="9">
        <f t="shared" ref="N41:N43" si="58">((I41-E41)/E41)</f>
        <v>0.03725313469</v>
      </c>
      <c r="O41" s="9">
        <f t="shared" ref="O41:O43" si="59">((J41-E41)/E41)</f>
        <v>0.03601201522</v>
      </c>
      <c r="P41" s="10" t="b">
        <f t="shared" ref="P41:T41" si="56">F41&gt;$E41</f>
        <v>1</v>
      </c>
      <c r="Q41" s="10" t="b">
        <f t="shared" si="56"/>
        <v>1</v>
      </c>
      <c r="R41" s="10" t="b">
        <f t="shared" si="56"/>
        <v>1</v>
      </c>
      <c r="S41" s="10" t="b">
        <f t="shared" si="56"/>
        <v>1</v>
      </c>
      <c r="T41" s="10" t="b">
        <f t="shared" si="56"/>
        <v>1</v>
      </c>
    </row>
    <row r="42" ht="15.75" customHeight="1">
      <c r="A42" s="5">
        <v>44943.0</v>
      </c>
      <c r="B42" s="6" t="s">
        <v>32</v>
      </c>
      <c r="C42" s="5">
        <v>44942.0</v>
      </c>
      <c r="D42" s="7">
        <v>1111.05</v>
      </c>
      <c r="E42" s="7">
        <v>1121.2</v>
      </c>
      <c r="F42" s="8">
        <v>1128.59499999999</v>
      </c>
      <c r="G42" s="8">
        <v>1120.61</v>
      </c>
      <c r="H42" s="8">
        <v>1119.62166666666</v>
      </c>
      <c r="I42" s="8">
        <v>1116.68285714285</v>
      </c>
      <c r="J42" s="8">
        <v>1113.02374999999</v>
      </c>
      <c r="K42" s="9">
        <f t="shared" si="23"/>
        <v>0.006595611844</v>
      </c>
      <c r="L42" s="9">
        <f t="shared" si="24"/>
        <v>-0.0005262219051</v>
      </c>
      <c r="M42" s="9">
        <f t="shared" si="57"/>
        <v>-0.001407717921</v>
      </c>
      <c r="N42" s="9">
        <f t="shared" si="58"/>
        <v>-0.004028846644</v>
      </c>
      <c r="O42" s="9">
        <f t="shared" si="59"/>
        <v>-0.007292409918</v>
      </c>
      <c r="P42" s="10" t="b">
        <f t="shared" ref="P42:T42" si="60">F42&gt;$E42</f>
        <v>1</v>
      </c>
      <c r="Q42" s="10" t="b">
        <f t="shared" si="60"/>
        <v>0</v>
      </c>
      <c r="R42" s="10" t="b">
        <f t="shared" si="60"/>
        <v>0</v>
      </c>
      <c r="S42" s="10" t="b">
        <f t="shared" si="60"/>
        <v>0</v>
      </c>
      <c r="T42" s="10" t="b">
        <f t="shared" si="60"/>
        <v>0</v>
      </c>
    </row>
    <row r="43" ht="15.75" customHeight="1">
      <c r="A43" s="5">
        <v>45092.0</v>
      </c>
      <c r="B43" s="6" t="s">
        <v>32</v>
      </c>
      <c r="C43" s="5">
        <v>45089.0</v>
      </c>
      <c r="D43" s="7">
        <v>1143.6</v>
      </c>
      <c r="E43" s="7">
        <v>1170.45</v>
      </c>
      <c r="F43" s="8">
        <v>1159.2375</v>
      </c>
      <c r="G43" s="8">
        <v>1150.28</v>
      </c>
      <c r="H43" s="8">
        <v>1145.73833333333</v>
      </c>
      <c r="I43" s="8">
        <v>1145.34571428571</v>
      </c>
      <c r="J43" s="8">
        <v>1148.9275</v>
      </c>
      <c r="K43" s="9">
        <f t="shared" si="23"/>
        <v>-0.009579648853</v>
      </c>
      <c r="L43" s="9">
        <f t="shared" si="24"/>
        <v>-0.01723268828</v>
      </c>
      <c r="M43" s="9">
        <f t="shared" si="57"/>
        <v>-0.02111296225</v>
      </c>
      <c r="N43" s="9">
        <f t="shared" si="58"/>
        <v>-0.02144840507</v>
      </c>
      <c r="O43" s="9">
        <f t="shared" si="59"/>
        <v>-0.01838822675</v>
      </c>
      <c r="P43" s="10" t="b">
        <f t="shared" ref="P43:T43" si="61">F43&gt;$E43</f>
        <v>0</v>
      </c>
      <c r="Q43" s="10" t="b">
        <f t="shared" si="61"/>
        <v>0</v>
      </c>
      <c r="R43" s="10" t="b">
        <f t="shared" si="61"/>
        <v>0</v>
      </c>
      <c r="S43" s="10" t="b">
        <f t="shared" si="61"/>
        <v>0</v>
      </c>
      <c r="T43" s="10" t="b">
        <f t="shared" si="61"/>
        <v>0</v>
      </c>
    </row>
    <row r="44" ht="15.75" customHeight="1">
      <c r="A44" s="5">
        <v>45139.0</v>
      </c>
      <c r="B44" s="6" t="s">
        <v>32</v>
      </c>
      <c r="C44" s="5">
        <v>45138.0</v>
      </c>
      <c r="D44" s="7">
        <v>1138.5</v>
      </c>
      <c r="E44" s="7">
        <v>1150.8</v>
      </c>
      <c r="F44" s="8">
        <v>1164.87647058823</v>
      </c>
      <c r="G44" s="11"/>
      <c r="H44" s="11"/>
      <c r="I44" s="11"/>
      <c r="J44" s="11"/>
      <c r="K44" s="9">
        <f t="shared" si="23"/>
        <v>0.01223190006</v>
      </c>
      <c r="L44" s="9"/>
      <c r="M44" s="9"/>
      <c r="N44" s="9"/>
      <c r="O44" s="9"/>
      <c r="P44" s="10" t="b">
        <f t="shared" ref="P44:P71" si="62">F44&gt;$E44</f>
        <v>1</v>
      </c>
      <c r="Q44" s="10"/>
      <c r="R44" s="10"/>
      <c r="S44" s="10"/>
      <c r="T44" s="10"/>
    </row>
    <row r="45" ht="15.75" customHeight="1">
      <c r="A45" s="5">
        <v>45050.0</v>
      </c>
      <c r="B45" s="6" t="s">
        <v>33</v>
      </c>
      <c r="C45" s="5">
        <v>45047.0</v>
      </c>
      <c r="D45" s="7">
        <v>2982.85</v>
      </c>
      <c r="E45" s="7">
        <v>3041.4</v>
      </c>
      <c r="F45" s="8">
        <v>3148.7925</v>
      </c>
      <c r="G45" s="8">
        <v>3163.858</v>
      </c>
      <c r="H45" s="8">
        <v>3188.405</v>
      </c>
      <c r="I45" s="8">
        <v>3204.51571428571</v>
      </c>
      <c r="J45" s="8">
        <v>3225.0075</v>
      </c>
      <c r="K45" s="9">
        <f t="shared" si="23"/>
        <v>0.03531021898</v>
      </c>
      <c r="L45" s="9">
        <f t="shared" ref="L45:L62" si="64">((G45-E45)/E45)</f>
        <v>0.04026369435</v>
      </c>
      <c r="M45" s="9">
        <f t="shared" ref="M45:M62" si="65">((H45-E45)/E45)</f>
        <v>0.04833464852</v>
      </c>
      <c r="N45" s="9">
        <f t="shared" ref="N45:N49" si="66">((I45-E45)/E45)</f>
        <v>0.05363178611</v>
      </c>
      <c r="O45" s="9">
        <f t="shared" ref="O45:O49" si="67">((J45-E45)/E45)</f>
        <v>0.06036940225</v>
      </c>
      <c r="P45" s="10" t="b">
        <f t="shared" si="62"/>
        <v>1</v>
      </c>
      <c r="Q45" s="10" t="b">
        <f t="shared" ref="Q45:T45" si="63">G45&gt;$E45</f>
        <v>1</v>
      </c>
      <c r="R45" s="10" t="b">
        <f t="shared" si="63"/>
        <v>1</v>
      </c>
      <c r="S45" s="10" t="b">
        <f t="shared" si="63"/>
        <v>1</v>
      </c>
      <c r="T45" s="10" t="b">
        <f t="shared" si="63"/>
        <v>1</v>
      </c>
    </row>
    <row r="46" ht="15.75" customHeight="1">
      <c r="A46" s="5">
        <v>45057.0</v>
      </c>
      <c r="B46" s="6" t="s">
        <v>33</v>
      </c>
      <c r="C46" s="5">
        <v>45054.0</v>
      </c>
      <c r="D46" s="7">
        <v>3139.75</v>
      </c>
      <c r="E46" s="7">
        <v>3092.45</v>
      </c>
      <c r="F46" s="8">
        <v>3173.1525</v>
      </c>
      <c r="G46" s="8">
        <v>3200.75</v>
      </c>
      <c r="H46" s="8">
        <v>3217.48833333333</v>
      </c>
      <c r="I46" s="8">
        <v>3239.05428571428</v>
      </c>
      <c r="J46" s="8">
        <v>3256.29</v>
      </c>
      <c r="K46" s="9">
        <f t="shared" si="23"/>
        <v>0.02609662242</v>
      </c>
      <c r="L46" s="9">
        <f t="shared" si="64"/>
        <v>0.03502077641</v>
      </c>
      <c r="M46" s="9">
        <f t="shared" si="65"/>
        <v>0.04043342118</v>
      </c>
      <c r="N46" s="9">
        <f t="shared" si="66"/>
        <v>0.04740716445</v>
      </c>
      <c r="O46" s="9">
        <f t="shared" si="67"/>
        <v>0.05298064641</v>
      </c>
      <c r="P46" s="10" t="b">
        <f t="shared" si="62"/>
        <v>1</v>
      </c>
      <c r="Q46" s="10" t="b">
        <f t="shared" ref="Q46:T46" si="68">G46&gt;$E46</f>
        <v>1</v>
      </c>
      <c r="R46" s="10" t="b">
        <f t="shared" si="68"/>
        <v>1</v>
      </c>
      <c r="S46" s="10" t="b">
        <f t="shared" si="68"/>
        <v>1</v>
      </c>
      <c r="T46" s="10" t="b">
        <f t="shared" si="68"/>
        <v>1</v>
      </c>
    </row>
    <row r="47" ht="15.75" customHeight="1">
      <c r="A47" s="5">
        <v>45077.0</v>
      </c>
      <c r="B47" s="6" t="s">
        <v>33</v>
      </c>
      <c r="C47" s="5">
        <v>45075.0</v>
      </c>
      <c r="D47" s="7">
        <v>3192.95</v>
      </c>
      <c r="E47" s="7">
        <v>3212.75</v>
      </c>
      <c r="F47" s="8">
        <v>3292.4925</v>
      </c>
      <c r="G47" s="8">
        <v>3309.41599999999</v>
      </c>
      <c r="H47" s="8">
        <v>3335.07333333333</v>
      </c>
      <c r="I47" s="8">
        <v>3354.65714285714</v>
      </c>
      <c r="J47" s="8">
        <v>3356.4075</v>
      </c>
      <c r="K47" s="9">
        <f t="shared" si="23"/>
        <v>0.02482063653</v>
      </c>
      <c r="L47" s="9">
        <f t="shared" si="64"/>
        <v>0.03008824216</v>
      </c>
      <c r="M47" s="9">
        <f t="shared" si="65"/>
        <v>0.03807433922</v>
      </c>
      <c r="N47" s="9">
        <f t="shared" si="66"/>
        <v>0.04416999233</v>
      </c>
      <c r="O47" s="9">
        <f t="shared" si="67"/>
        <v>0.04471480819</v>
      </c>
      <c r="P47" s="10" t="b">
        <f t="shared" si="62"/>
        <v>1</v>
      </c>
      <c r="Q47" s="10" t="b">
        <f t="shared" ref="Q47:T47" si="69">G47&gt;$E47</f>
        <v>1</v>
      </c>
      <c r="R47" s="10" t="b">
        <f t="shared" si="69"/>
        <v>1</v>
      </c>
      <c r="S47" s="10" t="b">
        <f t="shared" si="69"/>
        <v>1</v>
      </c>
      <c r="T47" s="10" t="b">
        <f t="shared" si="69"/>
        <v>1</v>
      </c>
    </row>
    <row r="48" ht="15.75" customHeight="1">
      <c r="A48" s="5">
        <v>45090.0</v>
      </c>
      <c r="B48" s="6" t="s">
        <v>33</v>
      </c>
      <c r="C48" s="5">
        <v>45089.0</v>
      </c>
      <c r="D48" s="7">
        <v>3262.85</v>
      </c>
      <c r="E48" s="7">
        <v>3309.7</v>
      </c>
      <c r="F48" s="8">
        <v>3363.5625</v>
      </c>
      <c r="G48" s="8">
        <v>3390.948</v>
      </c>
      <c r="H48" s="8">
        <v>3387.56999999999</v>
      </c>
      <c r="I48" s="8">
        <v>3381.63</v>
      </c>
      <c r="J48" s="8">
        <v>3362.69875</v>
      </c>
      <c r="K48" s="9">
        <f t="shared" si="23"/>
        <v>0.01627413361</v>
      </c>
      <c r="L48" s="9">
        <f t="shared" si="64"/>
        <v>0.0245484485</v>
      </c>
      <c r="M48" s="9">
        <f t="shared" si="65"/>
        <v>0.02352781219</v>
      </c>
      <c r="N48" s="9">
        <f t="shared" si="66"/>
        <v>0.02173308759</v>
      </c>
      <c r="O48" s="9">
        <f t="shared" si="67"/>
        <v>0.01601315829</v>
      </c>
      <c r="P48" s="10" t="b">
        <f t="shared" si="62"/>
        <v>1</v>
      </c>
      <c r="Q48" s="10" t="b">
        <f t="shared" ref="Q48:T48" si="70">G48&gt;$E48</f>
        <v>1</v>
      </c>
      <c r="R48" s="10" t="b">
        <f t="shared" si="70"/>
        <v>1</v>
      </c>
      <c r="S48" s="10" t="b">
        <f t="shared" si="70"/>
        <v>1</v>
      </c>
      <c r="T48" s="10" t="b">
        <f t="shared" si="70"/>
        <v>1</v>
      </c>
    </row>
    <row r="49" ht="15.75" customHeight="1">
      <c r="A49" s="5">
        <v>45107.0</v>
      </c>
      <c r="B49" s="6" t="s">
        <v>33</v>
      </c>
      <c r="C49" s="5">
        <v>45103.0</v>
      </c>
      <c r="D49" s="7">
        <v>3362.05</v>
      </c>
      <c r="E49" s="7">
        <v>3399.4</v>
      </c>
      <c r="F49" s="8">
        <v>3417.16999999999</v>
      </c>
      <c r="G49" s="8">
        <v>3397.72</v>
      </c>
      <c r="H49" s="8">
        <v>3362.39333333333</v>
      </c>
      <c r="I49" s="8">
        <v>3339.64285714285</v>
      </c>
      <c r="J49" s="8">
        <v>3332.91538461538</v>
      </c>
      <c r="K49" s="9">
        <f t="shared" si="23"/>
        <v>0.005227393069</v>
      </c>
      <c r="L49" s="9">
        <f t="shared" si="64"/>
        <v>-0.0004942048597</v>
      </c>
      <c r="M49" s="9">
        <f t="shared" si="65"/>
        <v>-0.01088623483</v>
      </c>
      <c r="N49" s="9">
        <f t="shared" si="66"/>
        <v>-0.01757873238</v>
      </c>
      <c r="O49" s="9">
        <f t="shared" si="67"/>
        <v>-0.01955775001</v>
      </c>
      <c r="P49" s="10" t="b">
        <f t="shared" si="62"/>
        <v>1</v>
      </c>
      <c r="Q49" s="10" t="b">
        <f t="shared" ref="Q49:T49" si="71">G49&gt;$E49</f>
        <v>0</v>
      </c>
      <c r="R49" s="10" t="b">
        <f t="shared" si="71"/>
        <v>0</v>
      </c>
      <c r="S49" s="10" t="b">
        <f t="shared" si="71"/>
        <v>0</v>
      </c>
      <c r="T49" s="10" t="b">
        <f t="shared" si="71"/>
        <v>0</v>
      </c>
    </row>
    <row r="50" ht="15.75" customHeight="1">
      <c r="A50" s="5">
        <v>45125.0</v>
      </c>
      <c r="B50" s="6" t="s">
        <v>33</v>
      </c>
      <c r="C50" s="5">
        <v>45124.0</v>
      </c>
      <c r="D50" s="7">
        <v>3513.45</v>
      </c>
      <c r="E50" s="7">
        <v>3543.7</v>
      </c>
      <c r="F50" s="8">
        <v>3292.17249999999</v>
      </c>
      <c r="G50" s="8">
        <v>3281.70199999999</v>
      </c>
      <c r="H50" s="8">
        <v>3281.23518518518</v>
      </c>
      <c r="I50" s="11"/>
      <c r="J50" s="11"/>
      <c r="K50" s="9">
        <f t="shared" si="23"/>
        <v>-0.07097877924</v>
      </c>
      <c r="L50" s="9">
        <f t="shared" si="64"/>
        <v>-0.07393345938</v>
      </c>
      <c r="M50" s="9">
        <f t="shared" si="65"/>
        <v>-0.07406519029</v>
      </c>
      <c r="N50" s="9"/>
      <c r="O50" s="9"/>
      <c r="P50" s="10" t="b">
        <f t="shared" si="62"/>
        <v>0</v>
      </c>
      <c r="Q50" s="10" t="b">
        <f t="shared" ref="Q50:R50" si="72">G50&gt;$E50</f>
        <v>0</v>
      </c>
      <c r="R50" s="10" t="b">
        <f t="shared" si="72"/>
        <v>0</v>
      </c>
      <c r="S50" s="10"/>
      <c r="T50" s="10"/>
    </row>
    <row r="51" ht="15.75" customHeight="1">
      <c r="A51" s="5">
        <v>45055.0</v>
      </c>
      <c r="B51" s="6" t="s">
        <v>34</v>
      </c>
      <c r="C51" s="5">
        <v>45054.0</v>
      </c>
      <c r="D51" s="7">
        <v>888.25</v>
      </c>
      <c r="E51" s="7">
        <v>915.8</v>
      </c>
      <c r="F51" s="8">
        <v>935.275</v>
      </c>
      <c r="G51" s="8">
        <v>943.736</v>
      </c>
      <c r="H51" s="8">
        <v>947.326666666666</v>
      </c>
      <c r="I51" s="8">
        <v>951.615714285714</v>
      </c>
      <c r="J51" s="8">
        <v>953.698749999999</v>
      </c>
      <c r="K51" s="9">
        <f t="shared" si="23"/>
        <v>0.02126556017</v>
      </c>
      <c r="L51" s="9">
        <f t="shared" si="64"/>
        <v>0.03050447696</v>
      </c>
      <c r="M51" s="9">
        <f t="shared" si="65"/>
        <v>0.03442527481</v>
      </c>
      <c r="N51" s="9">
        <f t="shared" ref="N51:N62" si="74">((I51-E51)/E51)</f>
        <v>0.03910866378</v>
      </c>
      <c r="O51" s="9">
        <f t="shared" ref="O51:O61" si="75">((J51-E51)/E51)</f>
        <v>0.04138321686</v>
      </c>
      <c r="P51" s="10" t="b">
        <f t="shared" si="62"/>
        <v>1</v>
      </c>
      <c r="Q51" s="10" t="b">
        <f t="shared" ref="Q51:T51" si="73">G51&gt;$E51</f>
        <v>1</v>
      </c>
      <c r="R51" s="10" t="b">
        <f t="shared" si="73"/>
        <v>1</v>
      </c>
      <c r="S51" s="10" t="b">
        <f t="shared" si="73"/>
        <v>1</v>
      </c>
      <c r="T51" s="10" t="b">
        <f t="shared" si="73"/>
        <v>1</v>
      </c>
    </row>
    <row r="52" ht="15.75" customHeight="1">
      <c r="A52" s="5">
        <v>44950.0</v>
      </c>
      <c r="B52" s="6" t="s">
        <v>35</v>
      </c>
      <c r="C52" s="5">
        <v>44949.0</v>
      </c>
      <c r="D52" s="7">
        <v>8698.8</v>
      </c>
      <c r="E52" s="7">
        <v>8895.3</v>
      </c>
      <c r="F52" s="8">
        <v>8768.8425</v>
      </c>
      <c r="G52" s="8">
        <v>8744.654</v>
      </c>
      <c r="H52" s="8">
        <v>8708.845</v>
      </c>
      <c r="I52" s="8">
        <v>8649.14428571428</v>
      </c>
      <c r="J52" s="8">
        <v>8602.465</v>
      </c>
      <c r="K52" s="9">
        <f t="shared" si="23"/>
        <v>-0.0142162153</v>
      </c>
      <c r="L52" s="9">
        <f t="shared" si="64"/>
        <v>-0.0169354603</v>
      </c>
      <c r="M52" s="9">
        <f t="shared" si="65"/>
        <v>-0.02096106933</v>
      </c>
      <c r="N52" s="9">
        <f t="shared" si="74"/>
        <v>-0.02767255902</v>
      </c>
      <c r="O52" s="9">
        <f t="shared" si="75"/>
        <v>-0.03292019381</v>
      </c>
      <c r="P52" s="10" t="b">
        <f t="shared" si="62"/>
        <v>0</v>
      </c>
      <c r="Q52" s="10" t="b">
        <f t="shared" ref="Q52:T52" si="76">G52&gt;$E52</f>
        <v>0</v>
      </c>
      <c r="R52" s="10" t="b">
        <f t="shared" si="76"/>
        <v>0</v>
      </c>
      <c r="S52" s="10" t="b">
        <f t="shared" si="76"/>
        <v>0</v>
      </c>
      <c r="T52" s="10" t="b">
        <f t="shared" si="76"/>
        <v>0</v>
      </c>
    </row>
    <row r="53" ht="15.75" customHeight="1">
      <c r="A53" s="5">
        <v>45019.0</v>
      </c>
      <c r="B53" s="6" t="s">
        <v>35</v>
      </c>
      <c r="C53" s="5">
        <v>45019.0</v>
      </c>
      <c r="D53" s="7">
        <v>8503.05</v>
      </c>
      <c r="E53" s="7">
        <v>8659.55</v>
      </c>
      <c r="F53" s="8">
        <v>8758.345</v>
      </c>
      <c r="G53" s="8">
        <v>8836.546</v>
      </c>
      <c r="H53" s="8">
        <v>8897.65166666666</v>
      </c>
      <c r="I53" s="8">
        <v>8964.06714285714</v>
      </c>
      <c r="J53" s="8">
        <v>9047.8025</v>
      </c>
      <c r="K53" s="9">
        <f t="shared" si="23"/>
        <v>0.01140879145</v>
      </c>
      <c r="L53" s="9">
        <f t="shared" si="64"/>
        <v>0.02043939928</v>
      </c>
      <c r="M53" s="9">
        <f t="shared" si="65"/>
        <v>0.02749584755</v>
      </c>
      <c r="N53" s="9">
        <f t="shared" si="74"/>
        <v>0.03516546967</v>
      </c>
      <c r="O53" s="9">
        <f t="shared" si="75"/>
        <v>0.04483518197</v>
      </c>
      <c r="P53" s="10" t="b">
        <f t="shared" si="62"/>
        <v>1</v>
      </c>
      <c r="Q53" s="10" t="b">
        <f t="shared" ref="Q53:T53" si="77">G53&gt;$E53</f>
        <v>1</v>
      </c>
      <c r="R53" s="10" t="b">
        <f t="shared" si="77"/>
        <v>1</v>
      </c>
      <c r="S53" s="10" t="b">
        <f t="shared" si="77"/>
        <v>1</v>
      </c>
      <c r="T53" s="10" t="b">
        <f t="shared" si="77"/>
        <v>1</v>
      </c>
    </row>
    <row r="54" ht="15.75" customHeight="1">
      <c r="A54" s="5">
        <v>45027.0</v>
      </c>
      <c r="B54" s="6" t="s">
        <v>35</v>
      </c>
      <c r="C54" s="5">
        <v>45026.0</v>
      </c>
      <c r="D54" s="7">
        <v>8659.55</v>
      </c>
      <c r="E54" s="7">
        <v>8732.65</v>
      </c>
      <c r="F54" s="8">
        <v>8858.06</v>
      </c>
      <c r="G54" s="8">
        <v>8917.942</v>
      </c>
      <c r="H54" s="8">
        <v>8990.49666666666</v>
      </c>
      <c r="I54" s="8">
        <v>9072.98142857143</v>
      </c>
      <c r="J54" s="8">
        <v>9136.03</v>
      </c>
      <c r="K54" s="9">
        <f t="shared" si="23"/>
        <v>0.01436104733</v>
      </c>
      <c r="L54" s="9">
        <f t="shared" si="64"/>
        <v>0.02121830143</v>
      </c>
      <c r="M54" s="9">
        <f t="shared" si="65"/>
        <v>0.02952673778</v>
      </c>
      <c r="N54" s="9">
        <f t="shared" si="74"/>
        <v>0.03897229691</v>
      </c>
      <c r="O54" s="9">
        <f t="shared" si="75"/>
        <v>0.04619216389</v>
      </c>
      <c r="P54" s="10" t="b">
        <f t="shared" si="62"/>
        <v>1</v>
      </c>
      <c r="Q54" s="10" t="b">
        <f t="shared" ref="Q54:T54" si="78">G54&gt;$E54</f>
        <v>1</v>
      </c>
      <c r="R54" s="10" t="b">
        <f t="shared" si="78"/>
        <v>1</v>
      </c>
      <c r="S54" s="10" t="b">
        <f t="shared" si="78"/>
        <v>1</v>
      </c>
      <c r="T54" s="10" t="b">
        <f t="shared" si="78"/>
        <v>1</v>
      </c>
    </row>
    <row r="55" ht="15.75" customHeight="1">
      <c r="A55" s="5">
        <v>45048.0</v>
      </c>
      <c r="B55" s="6" t="s">
        <v>35</v>
      </c>
      <c r="C55" s="5">
        <v>45047.0</v>
      </c>
      <c r="D55" s="7">
        <v>8776.85</v>
      </c>
      <c r="E55" s="7">
        <v>9076.25</v>
      </c>
      <c r="F55" s="8">
        <v>9259.175</v>
      </c>
      <c r="G55" s="8">
        <v>9338.562</v>
      </c>
      <c r="H55" s="8">
        <v>9374.82</v>
      </c>
      <c r="I55" s="8">
        <v>9382.23142857142</v>
      </c>
      <c r="J55" s="8">
        <v>9410.23875</v>
      </c>
      <c r="K55" s="9">
        <f t="shared" si="23"/>
        <v>0.02015424873</v>
      </c>
      <c r="L55" s="9">
        <f t="shared" si="64"/>
        <v>0.02890092274</v>
      </c>
      <c r="M55" s="9">
        <f t="shared" si="65"/>
        <v>0.03289574439</v>
      </c>
      <c r="N55" s="9">
        <f t="shared" si="74"/>
        <v>0.03371231826</v>
      </c>
      <c r="O55" s="9">
        <f t="shared" si="75"/>
        <v>0.03679809944</v>
      </c>
      <c r="P55" s="10" t="b">
        <f t="shared" si="62"/>
        <v>1</v>
      </c>
      <c r="Q55" s="10" t="b">
        <f t="shared" ref="Q55:T55" si="79">G55&gt;$E55</f>
        <v>1</v>
      </c>
      <c r="R55" s="10" t="b">
        <f t="shared" si="79"/>
        <v>1</v>
      </c>
      <c r="S55" s="10" t="b">
        <f t="shared" si="79"/>
        <v>1</v>
      </c>
      <c r="T55" s="10" t="b">
        <f t="shared" si="79"/>
        <v>1</v>
      </c>
    </row>
    <row r="56" ht="15.75" customHeight="1">
      <c r="A56" s="5">
        <v>45055.0</v>
      </c>
      <c r="B56" s="6" t="s">
        <v>35</v>
      </c>
      <c r="C56" s="5">
        <v>45054.0</v>
      </c>
      <c r="D56" s="7">
        <v>9111.55</v>
      </c>
      <c r="E56" s="7">
        <v>9207.3</v>
      </c>
      <c r="F56" s="8">
        <v>9371.0375</v>
      </c>
      <c r="G56" s="8">
        <v>9408.052</v>
      </c>
      <c r="H56" s="8">
        <v>9411.16</v>
      </c>
      <c r="I56" s="8">
        <v>9439.03571428571</v>
      </c>
      <c r="J56" s="8">
        <v>9492.61625</v>
      </c>
      <c r="K56" s="9">
        <f t="shared" si="23"/>
        <v>0.01778344357</v>
      </c>
      <c r="L56" s="9">
        <f t="shared" si="64"/>
        <v>0.02180356891</v>
      </c>
      <c r="M56" s="9">
        <f t="shared" si="65"/>
        <v>0.02214112715</v>
      </c>
      <c r="N56" s="9">
        <f t="shared" si="74"/>
        <v>0.02516869378</v>
      </c>
      <c r="O56" s="9">
        <f t="shared" si="75"/>
        <v>0.03098804753</v>
      </c>
      <c r="P56" s="10" t="b">
        <f t="shared" si="62"/>
        <v>1</v>
      </c>
      <c r="Q56" s="10" t="b">
        <f t="shared" ref="Q56:T56" si="80">G56&gt;$E56</f>
        <v>1</v>
      </c>
      <c r="R56" s="10" t="b">
        <f t="shared" si="80"/>
        <v>1</v>
      </c>
      <c r="S56" s="10" t="b">
        <f t="shared" si="80"/>
        <v>1</v>
      </c>
      <c r="T56" s="10" t="b">
        <f t="shared" si="80"/>
        <v>1</v>
      </c>
    </row>
    <row r="57" ht="15.75" customHeight="1">
      <c r="A57" s="5">
        <v>45072.0</v>
      </c>
      <c r="B57" s="6" t="s">
        <v>35</v>
      </c>
      <c r="C57" s="5">
        <v>45068.0</v>
      </c>
      <c r="D57" s="7">
        <v>9399.95</v>
      </c>
      <c r="E57" s="7">
        <v>9328.3</v>
      </c>
      <c r="F57" s="8">
        <v>9548.655</v>
      </c>
      <c r="G57" s="8">
        <v>9599.818</v>
      </c>
      <c r="H57" s="8">
        <v>9623.96333333333</v>
      </c>
      <c r="I57" s="8">
        <v>9634.97714285714</v>
      </c>
      <c r="J57" s="8">
        <v>9646.44624999999</v>
      </c>
      <c r="K57" s="9">
        <f t="shared" si="23"/>
        <v>0.0236222034</v>
      </c>
      <c r="L57" s="9">
        <f t="shared" si="64"/>
        <v>0.02910691123</v>
      </c>
      <c r="M57" s="9">
        <f t="shared" si="65"/>
        <v>0.03169530711</v>
      </c>
      <c r="N57" s="9">
        <f t="shared" si="74"/>
        <v>0.03287599486</v>
      </c>
      <c r="O57" s="9">
        <f t="shared" si="75"/>
        <v>0.03410549082</v>
      </c>
      <c r="P57" s="10" t="b">
        <f t="shared" si="62"/>
        <v>1</v>
      </c>
      <c r="Q57" s="10" t="b">
        <f t="shared" ref="Q57:T57" si="81">G57&gt;$E57</f>
        <v>1</v>
      </c>
      <c r="R57" s="10" t="b">
        <f t="shared" si="81"/>
        <v>1</v>
      </c>
      <c r="S57" s="10" t="b">
        <f t="shared" si="81"/>
        <v>1</v>
      </c>
      <c r="T57" s="10" t="b">
        <f t="shared" si="81"/>
        <v>1</v>
      </c>
    </row>
    <row r="58" ht="15.75" customHeight="1">
      <c r="A58" s="5">
        <v>45107.0</v>
      </c>
      <c r="B58" s="6" t="s">
        <v>35</v>
      </c>
      <c r="C58" s="5">
        <v>45103.0</v>
      </c>
      <c r="D58" s="7">
        <v>9789.05</v>
      </c>
      <c r="E58" s="7">
        <v>9859.4</v>
      </c>
      <c r="F58" s="8">
        <v>9722.3825</v>
      </c>
      <c r="G58" s="8">
        <v>9673.80399999999</v>
      </c>
      <c r="H58" s="8">
        <v>9625.81666666666</v>
      </c>
      <c r="I58" s="8">
        <v>9611.01571428571</v>
      </c>
      <c r="J58" s="8">
        <v>9625.76153846153</v>
      </c>
      <c r="K58" s="9">
        <f t="shared" si="23"/>
        <v>-0.01389714384</v>
      </c>
      <c r="L58" s="9">
        <f t="shared" si="64"/>
        <v>-0.01882426923</v>
      </c>
      <c r="M58" s="9">
        <f t="shared" si="65"/>
        <v>-0.02369143491</v>
      </c>
      <c r="N58" s="9">
        <f t="shared" si="74"/>
        <v>-0.02519263705</v>
      </c>
      <c r="O58" s="9">
        <f t="shared" si="75"/>
        <v>-0.02369702634</v>
      </c>
      <c r="P58" s="10" t="b">
        <f t="shared" si="62"/>
        <v>0</v>
      </c>
      <c r="Q58" s="10" t="b">
        <f t="shared" ref="Q58:T58" si="82">G58&gt;$E58</f>
        <v>0</v>
      </c>
      <c r="R58" s="10" t="b">
        <f t="shared" si="82"/>
        <v>0</v>
      </c>
      <c r="S58" s="10" t="b">
        <f t="shared" si="82"/>
        <v>0</v>
      </c>
      <c r="T58" s="10" t="b">
        <f t="shared" si="82"/>
        <v>0</v>
      </c>
    </row>
    <row r="59" ht="15.75" customHeight="1">
      <c r="A59" s="5">
        <v>45022.0</v>
      </c>
      <c r="B59" s="6" t="s">
        <v>36</v>
      </c>
      <c r="C59" s="5">
        <v>45019.0</v>
      </c>
      <c r="D59" s="7">
        <v>1012.1</v>
      </c>
      <c r="E59" s="7">
        <v>1003.5</v>
      </c>
      <c r="F59" s="8">
        <v>974.485</v>
      </c>
      <c r="G59" s="8">
        <v>966.382</v>
      </c>
      <c r="H59" s="8">
        <v>964.221666666666</v>
      </c>
      <c r="I59" s="8">
        <v>967.361428571428</v>
      </c>
      <c r="J59" s="8">
        <v>971.06125</v>
      </c>
      <c r="K59" s="9">
        <f t="shared" si="23"/>
        <v>-0.02891380169</v>
      </c>
      <c r="L59" s="9">
        <f t="shared" si="64"/>
        <v>-0.03698854011</v>
      </c>
      <c r="M59" s="9">
        <f t="shared" si="65"/>
        <v>-0.03914133865</v>
      </c>
      <c r="N59" s="9">
        <f t="shared" si="74"/>
        <v>-0.03601252758</v>
      </c>
      <c r="O59" s="9">
        <f t="shared" si="75"/>
        <v>-0.03232561036</v>
      </c>
      <c r="P59" s="10" t="b">
        <f t="shared" si="62"/>
        <v>0</v>
      </c>
      <c r="Q59" s="10" t="b">
        <f t="shared" ref="Q59:T59" si="83">G59&gt;$E59</f>
        <v>0</v>
      </c>
      <c r="R59" s="10" t="b">
        <f t="shared" si="83"/>
        <v>0</v>
      </c>
      <c r="S59" s="10" t="b">
        <f t="shared" si="83"/>
        <v>0</v>
      </c>
      <c r="T59" s="10" t="b">
        <f t="shared" si="83"/>
        <v>0</v>
      </c>
    </row>
    <row r="60" ht="15.75" customHeight="1">
      <c r="A60" s="5">
        <v>45072.0</v>
      </c>
      <c r="B60" s="6" t="s">
        <v>36</v>
      </c>
      <c r="C60" s="5">
        <v>45068.0</v>
      </c>
      <c r="D60" s="7">
        <v>969.9</v>
      </c>
      <c r="E60" s="7">
        <v>987.7</v>
      </c>
      <c r="F60" s="8">
        <v>998.295</v>
      </c>
      <c r="G60" s="8">
        <v>1006.812</v>
      </c>
      <c r="H60" s="8">
        <v>1017.16333333333</v>
      </c>
      <c r="I60" s="8">
        <v>1026.75142857142</v>
      </c>
      <c r="J60" s="8">
        <v>1037.93125</v>
      </c>
      <c r="K60" s="9">
        <f t="shared" si="23"/>
        <v>0.01072694138</v>
      </c>
      <c r="L60" s="9">
        <f t="shared" si="64"/>
        <v>0.01935000506</v>
      </c>
      <c r="M60" s="9">
        <f t="shared" si="65"/>
        <v>0.02983024535</v>
      </c>
      <c r="N60" s="9">
        <f t="shared" si="74"/>
        <v>0.03953774281</v>
      </c>
      <c r="O60" s="9">
        <f t="shared" si="75"/>
        <v>0.0508567885</v>
      </c>
      <c r="P60" s="10" t="b">
        <f t="shared" si="62"/>
        <v>1</v>
      </c>
      <c r="Q60" s="10" t="b">
        <f t="shared" ref="Q60:T60" si="84">G60&gt;$E60</f>
        <v>1</v>
      </c>
      <c r="R60" s="10" t="b">
        <f t="shared" si="84"/>
        <v>1</v>
      </c>
      <c r="S60" s="10" t="b">
        <f t="shared" si="84"/>
        <v>1</v>
      </c>
      <c r="T60" s="10" t="b">
        <f t="shared" si="84"/>
        <v>1</v>
      </c>
    </row>
    <row r="61" ht="15.75" customHeight="1">
      <c r="A61" s="5">
        <v>45107.0</v>
      </c>
      <c r="B61" s="6" t="s">
        <v>36</v>
      </c>
      <c r="C61" s="5">
        <v>45103.0</v>
      </c>
      <c r="D61" s="7">
        <v>1051.6</v>
      </c>
      <c r="E61" s="7">
        <v>1042.5</v>
      </c>
      <c r="F61" s="8">
        <v>1097.2875</v>
      </c>
      <c r="G61" s="8">
        <v>1107.89</v>
      </c>
      <c r="H61" s="8">
        <v>1112.90666666666</v>
      </c>
      <c r="I61" s="8">
        <v>1114.58428571428</v>
      </c>
      <c r="J61" s="8">
        <v>1114.50128205128</v>
      </c>
      <c r="K61" s="9">
        <f t="shared" si="23"/>
        <v>0.05255395683</v>
      </c>
      <c r="L61" s="9">
        <f t="shared" si="64"/>
        <v>0.06272422062</v>
      </c>
      <c r="M61" s="9">
        <f t="shared" si="65"/>
        <v>0.0675363709</v>
      </c>
      <c r="N61" s="9">
        <f t="shared" si="74"/>
        <v>0.06914559781</v>
      </c>
      <c r="O61" s="9">
        <f t="shared" si="75"/>
        <v>0.06906597799</v>
      </c>
      <c r="P61" s="10" t="b">
        <f t="shared" si="62"/>
        <v>1</v>
      </c>
      <c r="Q61" s="10" t="b">
        <f t="shared" ref="Q61:T61" si="85">G61&gt;$E61</f>
        <v>1</v>
      </c>
      <c r="R61" s="10" t="b">
        <f t="shared" si="85"/>
        <v>1</v>
      </c>
      <c r="S61" s="10" t="b">
        <f t="shared" si="85"/>
        <v>1</v>
      </c>
      <c r="T61" s="10" t="b">
        <f t="shared" si="85"/>
        <v>1</v>
      </c>
    </row>
    <row r="62" ht="15.75" customHeight="1">
      <c r="A62" s="5">
        <v>45118.0</v>
      </c>
      <c r="B62" s="6" t="s">
        <v>36</v>
      </c>
      <c r="C62" s="5">
        <v>45117.0</v>
      </c>
      <c r="D62" s="7">
        <v>1072.25</v>
      </c>
      <c r="E62" s="7">
        <v>1077.6</v>
      </c>
      <c r="F62" s="8">
        <v>1125.2975</v>
      </c>
      <c r="G62" s="8">
        <v>1128.17</v>
      </c>
      <c r="H62" s="8">
        <v>1126.03833333333</v>
      </c>
      <c r="I62" s="8">
        <v>1125.2390625</v>
      </c>
      <c r="J62" s="11"/>
      <c r="K62" s="9">
        <f t="shared" si="23"/>
        <v>0.04426271344</v>
      </c>
      <c r="L62" s="9">
        <f t="shared" si="64"/>
        <v>0.04692835932</v>
      </c>
      <c r="M62" s="9">
        <f t="shared" si="65"/>
        <v>0.04495019797</v>
      </c>
      <c r="N62" s="9">
        <f t="shared" si="74"/>
        <v>0.04420848413</v>
      </c>
      <c r="O62" s="9"/>
      <c r="P62" s="10" t="b">
        <f t="shared" si="62"/>
        <v>1</v>
      </c>
      <c r="Q62" s="10" t="b">
        <f t="shared" ref="Q62:S62" si="86">G62&gt;$E62</f>
        <v>1</v>
      </c>
      <c r="R62" s="10" t="b">
        <f t="shared" si="86"/>
        <v>1</v>
      </c>
      <c r="S62" s="10" t="b">
        <f t="shared" si="86"/>
        <v>1</v>
      </c>
      <c r="T62" s="10"/>
    </row>
    <row r="63" ht="15.75" customHeight="1">
      <c r="A63" s="5">
        <v>45134.0</v>
      </c>
      <c r="B63" s="6" t="s">
        <v>36</v>
      </c>
      <c r="C63" s="5">
        <v>45131.0</v>
      </c>
      <c r="D63" s="7">
        <v>1134.95</v>
      </c>
      <c r="E63" s="7">
        <v>1135.25</v>
      </c>
      <c r="F63" s="8">
        <v>1133.04</v>
      </c>
      <c r="G63" s="11"/>
      <c r="H63" s="11"/>
      <c r="I63" s="11"/>
      <c r="J63" s="11"/>
      <c r="K63" s="9">
        <f t="shared" si="23"/>
        <v>-0.001946707774</v>
      </c>
      <c r="L63" s="9"/>
      <c r="M63" s="9"/>
      <c r="N63" s="9"/>
      <c r="O63" s="9"/>
      <c r="P63" s="10" t="b">
        <f t="shared" si="62"/>
        <v>0</v>
      </c>
      <c r="Q63" s="10"/>
      <c r="R63" s="10"/>
      <c r="S63" s="10"/>
      <c r="T63" s="10"/>
    </row>
    <row r="64" ht="15.75" customHeight="1">
      <c r="A64" s="5">
        <v>44960.0</v>
      </c>
      <c r="B64" s="6" t="s">
        <v>37</v>
      </c>
      <c r="C64" s="5">
        <v>44956.0</v>
      </c>
      <c r="D64" s="7">
        <v>2463.1</v>
      </c>
      <c r="E64" s="7">
        <v>2462.55</v>
      </c>
      <c r="F64" s="8">
        <v>2432.995</v>
      </c>
      <c r="G64" s="8">
        <v>2426.104</v>
      </c>
      <c r="H64" s="8">
        <v>2438.23833333333</v>
      </c>
      <c r="I64" s="8">
        <v>2448.83428571428</v>
      </c>
      <c r="J64" s="8">
        <v>2464.55</v>
      </c>
      <c r="K64" s="9">
        <f t="shared" si="23"/>
        <v>-0.01200178677</v>
      </c>
      <c r="L64" s="9">
        <f t="shared" ref="L64:L71" si="88">((G64-E64)/E64)</f>
        <v>-0.01480010558</v>
      </c>
      <c r="M64" s="9">
        <f t="shared" ref="M64:M71" si="89">((H64-E64)/E64)</f>
        <v>-0.009872557579</v>
      </c>
      <c r="N64" s="9">
        <f t="shared" ref="N64:N71" si="90">((I64-E64)/E64)</f>
        <v>-0.005569720122</v>
      </c>
      <c r="O64" s="9">
        <f t="shared" ref="O64:O71" si="91">((J64-E64)/E64)</f>
        <v>0.0008121662504</v>
      </c>
      <c r="P64" s="10" t="b">
        <f t="shared" si="62"/>
        <v>0</v>
      </c>
      <c r="Q64" s="10" t="b">
        <f t="shared" ref="Q64:T64" si="87">G64&gt;$E64</f>
        <v>0</v>
      </c>
      <c r="R64" s="10" t="b">
        <f t="shared" si="87"/>
        <v>0</v>
      </c>
      <c r="S64" s="10" t="b">
        <f t="shared" si="87"/>
        <v>0</v>
      </c>
      <c r="T64" s="10" t="b">
        <f t="shared" si="87"/>
        <v>1</v>
      </c>
    </row>
    <row r="65" ht="15.75" customHeight="1">
      <c r="A65" s="5">
        <v>44970.0</v>
      </c>
      <c r="B65" s="6" t="s">
        <v>37</v>
      </c>
      <c r="C65" s="5">
        <v>44970.0</v>
      </c>
      <c r="D65" s="7">
        <v>2519.05</v>
      </c>
      <c r="E65" s="7">
        <v>2500.3</v>
      </c>
      <c r="F65" s="8">
        <v>2403.555</v>
      </c>
      <c r="G65" s="8">
        <v>2424.004</v>
      </c>
      <c r="H65" s="8">
        <v>2441.34833333333</v>
      </c>
      <c r="I65" s="8">
        <v>2460.74857142857</v>
      </c>
      <c r="J65" s="8">
        <v>2475.65875</v>
      </c>
      <c r="K65" s="9">
        <f t="shared" si="23"/>
        <v>-0.0386933568</v>
      </c>
      <c r="L65" s="9">
        <f t="shared" si="88"/>
        <v>-0.03051473823</v>
      </c>
      <c r="M65" s="9">
        <f t="shared" si="89"/>
        <v>-0.02357783733</v>
      </c>
      <c r="N65" s="9">
        <f t="shared" si="90"/>
        <v>-0.01581867319</v>
      </c>
      <c r="O65" s="9">
        <f t="shared" si="91"/>
        <v>-0.009855317362</v>
      </c>
      <c r="P65" s="10" t="b">
        <f t="shared" si="62"/>
        <v>0</v>
      </c>
      <c r="Q65" s="10" t="b">
        <f t="shared" ref="Q65:T65" si="92">G65&gt;$E65</f>
        <v>0</v>
      </c>
      <c r="R65" s="10" t="b">
        <f t="shared" si="92"/>
        <v>0</v>
      </c>
      <c r="S65" s="10" t="b">
        <f t="shared" si="92"/>
        <v>0</v>
      </c>
      <c r="T65" s="10" t="b">
        <f t="shared" si="92"/>
        <v>0</v>
      </c>
    </row>
    <row r="66" ht="15.75" customHeight="1">
      <c r="A66" s="5">
        <v>45001.0</v>
      </c>
      <c r="B66" s="6" t="s">
        <v>37</v>
      </c>
      <c r="C66" s="5">
        <v>44998.0</v>
      </c>
      <c r="D66" s="7">
        <v>2450.35</v>
      </c>
      <c r="E66" s="7">
        <v>2508.15</v>
      </c>
      <c r="F66" s="8">
        <v>2559.79</v>
      </c>
      <c r="G66" s="8">
        <v>2578.4</v>
      </c>
      <c r="H66" s="8">
        <v>2603.61333333333</v>
      </c>
      <c r="I66" s="8">
        <v>2627.76142857142</v>
      </c>
      <c r="J66" s="8">
        <v>2637.46</v>
      </c>
      <c r="K66" s="9">
        <f t="shared" si="23"/>
        <v>0.02058888025</v>
      </c>
      <c r="L66" s="9">
        <f t="shared" si="88"/>
        <v>0.02800869167</v>
      </c>
      <c r="M66" s="9">
        <f t="shared" si="89"/>
        <v>0.03806125365</v>
      </c>
      <c r="N66" s="9">
        <f t="shared" si="90"/>
        <v>0.04768910495</v>
      </c>
      <c r="O66" s="9">
        <f t="shared" si="91"/>
        <v>0.05155592768</v>
      </c>
      <c r="P66" s="10" t="b">
        <f t="shared" si="62"/>
        <v>1</v>
      </c>
      <c r="Q66" s="10" t="b">
        <f t="shared" ref="Q66:T66" si="93">G66&gt;$E66</f>
        <v>1</v>
      </c>
      <c r="R66" s="10" t="b">
        <f t="shared" si="93"/>
        <v>1</v>
      </c>
      <c r="S66" s="10" t="b">
        <f t="shared" si="93"/>
        <v>1</v>
      </c>
      <c r="T66" s="10" t="b">
        <f t="shared" si="93"/>
        <v>1</v>
      </c>
    </row>
    <row r="67" ht="15.75" customHeight="1">
      <c r="A67" s="5">
        <v>45021.0</v>
      </c>
      <c r="B67" s="6" t="s">
        <v>37</v>
      </c>
      <c r="C67" s="5">
        <v>45019.0</v>
      </c>
      <c r="D67" s="7">
        <v>2572.7</v>
      </c>
      <c r="E67" s="7">
        <v>2587.9</v>
      </c>
      <c r="F67" s="8">
        <v>2659.61</v>
      </c>
      <c r="G67" s="8">
        <v>2677.916</v>
      </c>
      <c r="H67" s="8">
        <v>2683.375</v>
      </c>
      <c r="I67" s="8">
        <v>2703.66142857142</v>
      </c>
      <c r="J67" s="8">
        <v>2725.6375</v>
      </c>
      <c r="K67" s="9">
        <f t="shared" si="23"/>
        <v>0.02770972603</v>
      </c>
      <c r="L67" s="9">
        <f t="shared" si="88"/>
        <v>0.03478341512</v>
      </c>
      <c r="M67" s="9">
        <f t="shared" si="89"/>
        <v>0.03689284748</v>
      </c>
      <c r="N67" s="9">
        <f t="shared" si="90"/>
        <v>0.0447318013</v>
      </c>
      <c r="O67" s="9">
        <f t="shared" si="91"/>
        <v>0.05322365625</v>
      </c>
      <c r="P67" s="10" t="b">
        <f t="shared" si="62"/>
        <v>1</v>
      </c>
      <c r="Q67" s="10" t="b">
        <f t="shared" ref="Q67:T67" si="94">G67&gt;$E67</f>
        <v>1</v>
      </c>
      <c r="R67" s="10" t="b">
        <f t="shared" si="94"/>
        <v>1</v>
      </c>
      <c r="S67" s="10" t="b">
        <f t="shared" si="94"/>
        <v>1</v>
      </c>
      <c r="T67" s="10" t="b">
        <f t="shared" si="94"/>
        <v>1</v>
      </c>
    </row>
    <row r="68" ht="15.75" customHeight="1">
      <c r="A68" s="5">
        <v>45051.0</v>
      </c>
      <c r="B68" s="6" t="s">
        <v>37</v>
      </c>
      <c r="C68" s="5">
        <v>45047.0</v>
      </c>
      <c r="D68" s="7">
        <v>2732.9</v>
      </c>
      <c r="E68" s="7">
        <v>2757.85</v>
      </c>
      <c r="F68" s="8">
        <v>2786.5125</v>
      </c>
      <c r="G68" s="8">
        <v>2807.466</v>
      </c>
      <c r="H68" s="8">
        <v>2834.16333333333</v>
      </c>
      <c r="I68" s="8">
        <v>2855.30571428571</v>
      </c>
      <c r="J68" s="8">
        <v>2884.9725</v>
      </c>
      <c r="K68" s="9">
        <f t="shared" si="23"/>
        <v>0.01039305981</v>
      </c>
      <c r="L68" s="9">
        <f t="shared" si="88"/>
        <v>0.01799082619</v>
      </c>
      <c r="M68" s="9">
        <f t="shared" si="89"/>
        <v>0.02767131401</v>
      </c>
      <c r="N68" s="9">
        <f t="shared" si="90"/>
        <v>0.03533756886</v>
      </c>
      <c r="O68" s="9">
        <f t="shared" si="91"/>
        <v>0.04609478398</v>
      </c>
      <c r="P68" s="10" t="b">
        <f t="shared" si="62"/>
        <v>1</v>
      </c>
      <c r="Q68" s="10" t="b">
        <f t="shared" ref="Q68:T68" si="95">G68&gt;$E68</f>
        <v>1</v>
      </c>
      <c r="R68" s="10" t="b">
        <f t="shared" si="95"/>
        <v>1</v>
      </c>
      <c r="S68" s="10" t="b">
        <f t="shared" si="95"/>
        <v>1</v>
      </c>
      <c r="T68" s="10" t="b">
        <f t="shared" si="95"/>
        <v>1</v>
      </c>
    </row>
    <row r="69" ht="15.75" customHeight="1">
      <c r="A69" s="5">
        <v>45075.0</v>
      </c>
      <c r="B69" s="6" t="s">
        <v>37</v>
      </c>
      <c r="C69" s="5">
        <v>45075.0</v>
      </c>
      <c r="D69" s="7">
        <v>2812.25</v>
      </c>
      <c r="E69" s="7">
        <v>2861.65</v>
      </c>
      <c r="F69" s="8">
        <v>2938.2425</v>
      </c>
      <c r="G69" s="8">
        <v>2969.41199999999</v>
      </c>
      <c r="H69" s="8">
        <v>2986.43833333333</v>
      </c>
      <c r="I69" s="8">
        <v>2986.57285714285</v>
      </c>
      <c r="J69" s="8">
        <v>2989.01374999999</v>
      </c>
      <c r="K69" s="9">
        <f t="shared" si="23"/>
        <v>0.02676515297</v>
      </c>
      <c r="L69" s="9">
        <f t="shared" si="88"/>
        <v>0.03765729562</v>
      </c>
      <c r="M69" s="9">
        <f t="shared" si="89"/>
        <v>0.04360712642</v>
      </c>
      <c r="N69" s="9">
        <f t="shared" si="90"/>
        <v>0.0436541356</v>
      </c>
      <c r="O69" s="9">
        <f t="shared" si="91"/>
        <v>0.04450710255</v>
      </c>
      <c r="P69" s="10" t="b">
        <f t="shared" si="62"/>
        <v>1</v>
      </c>
      <c r="Q69" s="10" t="b">
        <f t="shared" ref="Q69:T69" si="96">G69&gt;$E69</f>
        <v>1</v>
      </c>
      <c r="R69" s="10" t="b">
        <f t="shared" si="96"/>
        <v>1</v>
      </c>
      <c r="S69" s="10" t="b">
        <f t="shared" si="96"/>
        <v>1</v>
      </c>
      <c r="T69" s="10" t="b">
        <f t="shared" si="96"/>
        <v>1</v>
      </c>
    </row>
    <row r="70" ht="15.75" customHeight="1">
      <c r="A70" s="5">
        <v>45093.0</v>
      </c>
      <c r="B70" s="6" t="s">
        <v>37</v>
      </c>
      <c r="C70" s="5">
        <v>45089.0</v>
      </c>
      <c r="D70" s="7">
        <v>2954.3</v>
      </c>
      <c r="E70" s="7">
        <v>2970.25</v>
      </c>
      <c r="F70" s="8">
        <v>3036.755</v>
      </c>
      <c r="G70" s="8">
        <v>3029.63</v>
      </c>
      <c r="H70" s="8">
        <v>3017.67833333333</v>
      </c>
      <c r="I70" s="8">
        <v>3009.08285714285</v>
      </c>
      <c r="J70" s="8">
        <v>3013.50375</v>
      </c>
      <c r="K70" s="9">
        <f t="shared" si="23"/>
        <v>0.02239037118</v>
      </c>
      <c r="L70" s="9">
        <f t="shared" si="88"/>
        <v>0.0199915832</v>
      </c>
      <c r="M70" s="9">
        <f t="shared" si="89"/>
        <v>0.01596779171</v>
      </c>
      <c r="N70" s="9">
        <f t="shared" si="90"/>
        <v>0.01307393558</v>
      </c>
      <c r="O70" s="9">
        <f t="shared" si="91"/>
        <v>0.0145623264</v>
      </c>
      <c r="P70" s="10" t="b">
        <f t="shared" si="62"/>
        <v>1</v>
      </c>
      <c r="Q70" s="10" t="b">
        <f t="shared" ref="Q70:T70" si="97">G70&gt;$E70</f>
        <v>1</v>
      </c>
      <c r="R70" s="10" t="b">
        <f t="shared" si="97"/>
        <v>1</v>
      </c>
      <c r="S70" s="10" t="b">
        <f t="shared" si="97"/>
        <v>1</v>
      </c>
      <c r="T70" s="10" t="b">
        <f t="shared" si="97"/>
        <v>1</v>
      </c>
    </row>
    <row r="71" ht="15.75" customHeight="1">
      <c r="A71" s="5">
        <v>45107.0</v>
      </c>
      <c r="B71" s="6" t="s">
        <v>37</v>
      </c>
      <c r="C71" s="5">
        <v>45103.0</v>
      </c>
      <c r="D71" s="7">
        <v>3047.65</v>
      </c>
      <c r="E71" s="7">
        <v>3106.4</v>
      </c>
      <c r="F71" s="8">
        <v>3019.7975</v>
      </c>
      <c r="G71" s="8">
        <v>3002.82599999999</v>
      </c>
      <c r="H71" s="8">
        <v>3007.72833333333</v>
      </c>
      <c r="I71" s="8">
        <v>3016.69</v>
      </c>
      <c r="J71" s="8">
        <v>3023.04487179487</v>
      </c>
      <c r="K71" s="9">
        <f t="shared" si="23"/>
        <v>-0.02787873423</v>
      </c>
      <c r="L71" s="9">
        <f t="shared" si="88"/>
        <v>-0.03334213237</v>
      </c>
      <c r="M71" s="9">
        <f t="shared" si="89"/>
        <v>-0.03176399262</v>
      </c>
      <c r="N71" s="9">
        <f t="shared" si="90"/>
        <v>-0.02887908833</v>
      </c>
      <c r="O71" s="9">
        <f t="shared" si="91"/>
        <v>-0.02683335314</v>
      </c>
      <c r="P71" s="10" t="b">
        <f t="shared" si="62"/>
        <v>0</v>
      </c>
      <c r="Q71" s="10" t="b">
        <f t="shared" ref="Q71:T71" si="98">G71&gt;$E71</f>
        <v>0</v>
      </c>
      <c r="R71" s="10" t="b">
        <f t="shared" si="98"/>
        <v>0</v>
      </c>
      <c r="S71" s="10" t="b">
        <f t="shared" si="98"/>
        <v>0</v>
      </c>
      <c r="T71" s="10" t="b">
        <f t="shared" si="98"/>
        <v>0</v>
      </c>
    </row>
    <row r="72" ht="15.75" customHeight="1">
      <c r="A72" s="5">
        <v>45149.0</v>
      </c>
      <c r="B72" s="6" t="s">
        <v>37</v>
      </c>
      <c r="C72" s="5">
        <v>45145.0</v>
      </c>
      <c r="D72" s="7">
        <v>3017.25</v>
      </c>
      <c r="E72" s="7">
        <v>3050.45</v>
      </c>
      <c r="F72" s="11"/>
      <c r="G72" s="11"/>
      <c r="H72" s="11"/>
      <c r="I72" s="11"/>
      <c r="J72" s="11"/>
      <c r="K72" s="9"/>
      <c r="L72" s="9"/>
      <c r="M72" s="9"/>
      <c r="N72" s="9"/>
      <c r="O72" s="9"/>
      <c r="P72" s="10"/>
      <c r="Q72" s="10"/>
      <c r="R72" s="10"/>
      <c r="S72" s="10"/>
      <c r="T72" s="10"/>
    </row>
    <row r="73" ht="15.75" customHeight="1">
      <c r="A73" s="5">
        <v>45019.0</v>
      </c>
      <c r="B73" s="6" t="s">
        <v>38</v>
      </c>
      <c r="C73" s="5">
        <v>45019.0</v>
      </c>
      <c r="D73" s="7">
        <v>3553.75</v>
      </c>
      <c r="E73" s="7">
        <v>3454.2</v>
      </c>
      <c r="F73" s="8">
        <v>3539.8425</v>
      </c>
      <c r="G73" s="8">
        <v>3529.832</v>
      </c>
      <c r="H73" s="8">
        <v>3512.13333333333</v>
      </c>
      <c r="I73" s="8">
        <v>3509.96285714285</v>
      </c>
      <c r="J73" s="8">
        <v>3513.39375</v>
      </c>
      <c r="K73" s="9">
        <f t="shared" ref="K73:K109" si="100">((F73-E73)/E73)</f>
        <v>0.02479372937</v>
      </c>
      <c r="L73" s="9">
        <f t="shared" ref="L73:L109" si="101">((G73-E73)/E73)</f>
        <v>0.02189566325</v>
      </c>
      <c r="M73" s="9">
        <f t="shared" ref="M73:M98" si="102">((H73-E73)/E73)</f>
        <v>0.01677185262</v>
      </c>
      <c r="N73" s="9">
        <f t="shared" ref="N73:N89" si="103">((I73-E73)/E73)</f>
        <v>0.01614349405</v>
      </c>
      <c r="O73" s="9">
        <f t="shared" ref="O73:O89" si="104">((J73-E73)/E73)</f>
        <v>0.01713674657</v>
      </c>
      <c r="P73" s="10" t="b">
        <f t="shared" ref="P73:T73" si="99">F73&gt;$E73</f>
        <v>1</v>
      </c>
      <c r="Q73" s="10" t="b">
        <f t="shared" si="99"/>
        <v>1</v>
      </c>
      <c r="R73" s="10" t="b">
        <f t="shared" si="99"/>
        <v>1</v>
      </c>
      <c r="S73" s="10" t="b">
        <f t="shared" si="99"/>
        <v>1</v>
      </c>
      <c r="T73" s="10" t="b">
        <f t="shared" si="99"/>
        <v>1</v>
      </c>
    </row>
    <row r="74" ht="15.75" customHeight="1">
      <c r="A74" s="5">
        <v>45054.0</v>
      </c>
      <c r="B74" s="6" t="s">
        <v>38</v>
      </c>
      <c r="C74" s="5">
        <v>45054.0</v>
      </c>
      <c r="D74" s="7">
        <v>3677.85</v>
      </c>
      <c r="E74" s="7">
        <v>3677.55</v>
      </c>
      <c r="F74" s="8">
        <v>3484.67249999999</v>
      </c>
      <c r="G74" s="8">
        <v>3548.35599999999</v>
      </c>
      <c r="H74" s="8">
        <v>3604.90666666666</v>
      </c>
      <c r="I74" s="8">
        <v>3642.78428571428</v>
      </c>
      <c r="J74" s="8">
        <v>3664.1825</v>
      </c>
      <c r="K74" s="9">
        <f t="shared" si="100"/>
        <v>-0.05244728148</v>
      </c>
      <c r="L74" s="9">
        <f t="shared" si="101"/>
        <v>-0.0351304537</v>
      </c>
      <c r="M74" s="9">
        <f t="shared" si="102"/>
        <v>-0.01975318713</v>
      </c>
      <c r="N74" s="9">
        <f t="shared" si="103"/>
        <v>-0.009453498738</v>
      </c>
      <c r="O74" s="9">
        <f t="shared" si="104"/>
        <v>-0.003634892795</v>
      </c>
      <c r="P74" s="10" t="b">
        <f t="shared" ref="P74:T74" si="105">F74&gt;$E74</f>
        <v>0</v>
      </c>
      <c r="Q74" s="10" t="b">
        <f t="shared" si="105"/>
        <v>0</v>
      </c>
      <c r="R74" s="10" t="b">
        <f t="shared" si="105"/>
        <v>0</v>
      </c>
      <c r="S74" s="10" t="b">
        <f t="shared" si="105"/>
        <v>0</v>
      </c>
      <c r="T74" s="10" t="b">
        <f t="shared" si="105"/>
        <v>0</v>
      </c>
    </row>
    <row r="75" ht="15.75" customHeight="1">
      <c r="A75" s="5">
        <v>45086.0</v>
      </c>
      <c r="B75" s="6" t="s">
        <v>38</v>
      </c>
      <c r="C75" s="5">
        <v>45082.0</v>
      </c>
      <c r="D75" s="7">
        <v>3632.1</v>
      </c>
      <c r="E75" s="7">
        <v>3917.7</v>
      </c>
      <c r="F75" s="8">
        <v>3861.89249999999</v>
      </c>
      <c r="G75" s="8">
        <v>3827.53</v>
      </c>
      <c r="H75" s="8">
        <v>3805.11333333333</v>
      </c>
      <c r="I75" s="8">
        <v>3791.76857142857</v>
      </c>
      <c r="J75" s="8">
        <v>3769.4425</v>
      </c>
      <c r="K75" s="9">
        <f t="shared" si="100"/>
        <v>-0.01424496516</v>
      </c>
      <c r="L75" s="9">
        <f t="shared" si="101"/>
        <v>-0.02301605534</v>
      </c>
      <c r="M75" s="9">
        <f t="shared" si="102"/>
        <v>-0.02873794999</v>
      </c>
      <c r="N75" s="9">
        <f t="shared" si="103"/>
        <v>-0.03214422456</v>
      </c>
      <c r="O75" s="9">
        <f t="shared" si="104"/>
        <v>-0.03784299461</v>
      </c>
      <c r="P75" s="10" t="b">
        <f t="shared" ref="P75:T75" si="106">F75&gt;$E75</f>
        <v>0</v>
      </c>
      <c r="Q75" s="10" t="b">
        <f t="shared" si="106"/>
        <v>0</v>
      </c>
      <c r="R75" s="10" t="b">
        <f t="shared" si="106"/>
        <v>0</v>
      </c>
      <c r="S75" s="10" t="b">
        <f t="shared" si="106"/>
        <v>0</v>
      </c>
      <c r="T75" s="10" t="b">
        <f t="shared" si="106"/>
        <v>0</v>
      </c>
    </row>
    <row r="76" ht="15.75" customHeight="1">
      <c r="A76" s="5">
        <v>45091.0</v>
      </c>
      <c r="B76" s="6" t="s">
        <v>38</v>
      </c>
      <c r="C76" s="5">
        <v>45089.0</v>
      </c>
      <c r="D76" s="7">
        <v>3704.85</v>
      </c>
      <c r="E76" s="7">
        <v>3986.9</v>
      </c>
      <c r="F76" s="8">
        <v>3814.2775</v>
      </c>
      <c r="G76" s="8">
        <v>3787.91799999999</v>
      </c>
      <c r="H76" s="8">
        <v>3777.05666666666</v>
      </c>
      <c r="I76" s="8">
        <v>3759.46428571428</v>
      </c>
      <c r="J76" s="8">
        <v>3731.14499999999</v>
      </c>
      <c r="K76" s="9">
        <f t="shared" si="100"/>
        <v>-0.04329742406</v>
      </c>
      <c r="L76" s="9">
        <f t="shared" si="101"/>
        <v>-0.04990895182</v>
      </c>
      <c r="M76" s="9">
        <f t="shared" si="102"/>
        <v>-0.05263320709</v>
      </c>
      <c r="N76" s="9">
        <f t="shared" si="103"/>
        <v>-0.05704575341</v>
      </c>
      <c r="O76" s="9">
        <f t="shared" si="104"/>
        <v>-0.06414883744</v>
      </c>
      <c r="P76" s="10" t="b">
        <f t="shared" ref="P76:T76" si="107">F76&gt;$E76</f>
        <v>0</v>
      </c>
      <c r="Q76" s="10" t="b">
        <f t="shared" si="107"/>
        <v>0</v>
      </c>
      <c r="R76" s="10" t="b">
        <f t="shared" si="107"/>
        <v>0</v>
      </c>
      <c r="S76" s="10" t="b">
        <f t="shared" si="107"/>
        <v>0</v>
      </c>
      <c r="T76" s="10" t="b">
        <f t="shared" si="107"/>
        <v>0</v>
      </c>
    </row>
    <row r="77" ht="15.75" customHeight="1">
      <c r="A77" s="5">
        <v>44938.0</v>
      </c>
      <c r="B77" s="6" t="s">
        <v>39</v>
      </c>
      <c r="C77" s="5">
        <v>44935.0</v>
      </c>
      <c r="D77" s="7">
        <v>7153.35</v>
      </c>
      <c r="E77" s="7">
        <v>7283.45</v>
      </c>
      <c r="F77" s="8">
        <v>7070.92</v>
      </c>
      <c r="G77" s="8">
        <v>7114.654</v>
      </c>
      <c r="H77" s="8">
        <v>7136.47833333333</v>
      </c>
      <c r="I77" s="8">
        <v>7149.92857142857</v>
      </c>
      <c r="J77" s="8">
        <v>7147.05874999999</v>
      </c>
      <c r="K77" s="9">
        <f t="shared" si="100"/>
        <v>-0.02917985295</v>
      </c>
      <c r="L77" s="9">
        <f t="shared" si="101"/>
        <v>-0.02317528095</v>
      </c>
      <c r="M77" s="9">
        <f t="shared" si="102"/>
        <v>-0.02017885297</v>
      </c>
      <c r="N77" s="9">
        <f t="shared" si="103"/>
        <v>-0.01833216794</v>
      </c>
      <c r="O77" s="9">
        <f t="shared" si="104"/>
        <v>-0.01872618745</v>
      </c>
      <c r="P77" s="10" t="b">
        <f t="shared" ref="P77:T77" si="108">F77&gt;$E77</f>
        <v>0</v>
      </c>
      <c r="Q77" s="10" t="b">
        <f t="shared" si="108"/>
        <v>0</v>
      </c>
      <c r="R77" s="10" t="b">
        <f t="shared" si="108"/>
        <v>0</v>
      </c>
      <c r="S77" s="10" t="b">
        <f t="shared" si="108"/>
        <v>0</v>
      </c>
      <c r="T77" s="10" t="b">
        <f t="shared" si="108"/>
        <v>0</v>
      </c>
    </row>
    <row r="78" ht="15.75" customHeight="1">
      <c r="A78" s="5">
        <v>45075.0</v>
      </c>
      <c r="B78" s="6" t="s">
        <v>39</v>
      </c>
      <c r="C78" s="5">
        <v>45075.0</v>
      </c>
      <c r="D78" s="7">
        <v>7840.55</v>
      </c>
      <c r="E78" s="7">
        <v>7850.65</v>
      </c>
      <c r="F78" s="8">
        <v>8212.07</v>
      </c>
      <c r="G78" s="8">
        <v>8245.132</v>
      </c>
      <c r="H78" s="8">
        <v>8244.74166666666</v>
      </c>
      <c r="I78" s="8">
        <v>8240.30428571428</v>
      </c>
      <c r="J78" s="8">
        <v>8251.73625</v>
      </c>
      <c r="K78" s="9">
        <f t="shared" si="100"/>
        <v>0.04603695235</v>
      </c>
      <c r="L78" s="9">
        <f t="shared" si="101"/>
        <v>0.05024832339</v>
      </c>
      <c r="M78" s="9">
        <f t="shared" si="102"/>
        <v>0.05019860351</v>
      </c>
      <c r="N78" s="9">
        <f t="shared" si="103"/>
        <v>0.04963337886</v>
      </c>
      <c r="O78" s="9">
        <f t="shared" si="104"/>
        <v>0.05108955946</v>
      </c>
      <c r="P78" s="10" t="b">
        <f t="shared" ref="P78:T78" si="109">F78&gt;$E78</f>
        <v>1</v>
      </c>
      <c r="Q78" s="10" t="b">
        <f t="shared" si="109"/>
        <v>1</v>
      </c>
      <c r="R78" s="10" t="b">
        <f t="shared" si="109"/>
        <v>1</v>
      </c>
      <c r="S78" s="10" t="b">
        <f t="shared" si="109"/>
        <v>1</v>
      </c>
      <c r="T78" s="10" t="b">
        <f t="shared" si="109"/>
        <v>1</v>
      </c>
    </row>
    <row r="79" ht="15.75" customHeight="1">
      <c r="A79" s="5">
        <v>45083.0</v>
      </c>
      <c r="B79" s="6" t="s">
        <v>39</v>
      </c>
      <c r="C79" s="5">
        <v>45082.0</v>
      </c>
      <c r="D79" s="7">
        <v>8109.55</v>
      </c>
      <c r="E79" s="7">
        <v>8198.6</v>
      </c>
      <c r="F79" s="8">
        <v>8292.6525</v>
      </c>
      <c r="G79" s="8">
        <v>8276.684</v>
      </c>
      <c r="H79" s="8">
        <v>8273.42666666666</v>
      </c>
      <c r="I79" s="8">
        <v>8278.57428571428</v>
      </c>
      <c r="J79" s="8">
        <v>8266.60999999999</v>
      </c>
      <c r="K79" s="9">
        <f t="shared" si="100"/>
        <v>0.01147177567</v>
      </c>
      <c r="L79" s="9">
        <f t="shared" si="101"/>
        <v>0.009524065084</v>
      </c>
      <c r="M79" s="9">
        <f t="shared" si="102"/>
        <v>0.00912676148</v>
      </c>
      <c r="N79" s="9">
        <f t="shared" si="103"/>
        <v>0.009754627097</v>
      </c>
      <c r="O79" s="9">
        <f t="shared" si="104"/>
        <v>0.008295318713</v>
      </c>
      <c r="P79" s="10" t="b">
        <f t="shared" ref="P79:T79" si="110">F79&gt;$E79</f>
        <v>1</v>
      </c>
      <c r="Q79" s="10" t="b">
        <f t="shared" si="110"/>
        <v>1</v>
      </c>
      <c r="R79" s="10" t="b">
        <f t="shared" si="110"/>
        <v>1</v>
      </c>
      <c r="S79" s="10" t="b">
        <f t="shared" si="110"/>
        <v>1</v>
      </c>
      <c r="T79" s="10" t="b">
        <f t="shared" si="110"/>
        <v>1</v>
      </c>
    </row>
    <row r="80" ht="15.75" customHeight="1">
      <c r="A80" s="5">
        <v>44966.0</v>
      </c>
      <c r="B80" s="6" t="s">
        <v>40</v>
      </c>
      <c r="C80" s="5">
        <v>44963.0</v>
      </c>
      <c r="D80" s="7">
        <v>1400.25</v>
      </c>
      <c r="E80" s="7">
        <v>1420.8</v>
      </c>
      <c r="F80" s="8">
        <v>1351.92999999999</v>
      </c>
      <c r="G80" s="8">
        <v>1337.536</v>
      </c>
      <c r="H80" s="8">
        <v>1321.79499999999</v>
      </c>
      <c r="I80" s="8">
        <v>1318.52285714285</v>
      </c>
      <c r="J80" s="8">
        <v>1320.47125</v>
      </c>
      <c r="K80" s="9">
        <f t="shared" si="100"/>
        <v>-0.04847269144</v>
      </c>
      <c r="L80" s="9">
        <f t="shared" si="101"/>
        <v>-0.0586036036</v>
      </c>
      <c r="M80" s="9">
        <f t="shared" si="102"/>
        <v>-0.0696825732</v>
      </c>
      <c r="N80" s="9">
        <f t="shared" si="103"/>
        <v>-0.07198560167</v>
      </c>
      <c r="O80" s="9">
        <f t="shared" si="104"/>
        <v>-0.07061426661</v>
      </c>
      <c r="P80" s="10" t="b">
        <f t="shared" ref="P80:T80" si="111">F80&gt;$E80</f>
        <v>0</v>
      </c>
      <c r="Q80" s="10" t="b">
        <f t="shared" si="111"/>
        <v>0</v>
      </c>
      <c r="R80" s="10" t="b">
        <f t="shared" si="111"/>
        <v>0</v>
      </c>
      <c r="S80" s="10" t="b">
        <f t="shared" si="111"/>
        <v>0</v>
      </c>
      <c r="T80" s="10" t="b">
        <f t="shared" si="111"/>
        <v>0</v>
      </c>
    </row>
    <row r="81" ht="15.75" customHeight="1">
      <c r="A81" s="5">
        <v>45022.0</v>
      </c>
      <c r="B81" s="6" t="s">
        <v>40</v>
      </c>
      <c r="C81" s="5">
        <v>45019.0</v>
      </c>
      <c r="D81" s="7">
        <v>1303.95</v>
      </c>
      <c r="E81" s="7">
        <v>1341.3</v>
      </c>
      <c r="F81" s="8">
        <v>1364.775</v>
      </c>
      <c r="G81" s="8">
        <v>1375.312</v>
      </c>
      <c r="H81" s="8">
        <v>1385.41833333333</v>
      </c>
      <c r="I81" s="8">
        <v>1395.59285714285</v>
      </c>
      <c r="J81" s="8">
        <v>1405.04125</v>
      </c>
      <c r="K81" s="9">
        <f t="shared" si="100"/>
        <v>0.01750167748</v>
      </c>
      <c r="L81" s="9">
        <f t="shared" si="101"/>
        <v>0.025357489</v>
      </c>
      <c r="M81" s="9">
        <f t="shared" si="102"/>
        <v>0.03289221899</v>
      </c>
      <c r="N81" s="9">
        <f t="shared" si="103"/>
        <v>0.04047778807</v>
      </c>
      <c r="O81" s="9">
        <f t="shared" si="104"/>
        <v>0.04752199359</v>
      </c>
      <c r="P81" s="10" t="b">
        <f t="shared" ref="P81:T81" si="112">F81&gt;$E81</f>
        <v>1</v>
      </c>
      <c r="Q81" s="10" t="b">
        <f t="shared" si="112"/>
        <v>1</v>
      </c>
      <c r="R81" s="10" t="b">
        <f t="shared" si="112"/>
        <v>1</v>
      </c>
      <c r="S81" s="10" t="b">
        <f t="shared" si="112"/>
        <v>1</v>
      </c>
      <c r="T81" s="10" t="b">
        <f t="shared" si="112"/>
        <v>1</v>
      </c>
    </row>
    <row r="82" ht="15.75" customHeight="1">
      <c r="A82" s="5">
        <v>45029.0</v>
      </c>
      <c r="B82" s="6" t="s">
        <v>40</v>
      </c>
      <c r="C82" s="5">
        <v>45026.0</v>
      </c>
      <c r="D82" s="7">
        <v>1341.3</v>
      </c>
      <c r="E82" s="7">
        <v>1332.1</v>
      </c>
      <c r="F82" s="8">
        <v>1381.5</v>
      </c>
      <c r="G82" s="8">
        <v>1390.928</v>
      </c>
      <c r="H82" s="8">
        <v>1401.56833333333</v>
      </c>
      <c r="I82" s="8">
        <v>1411.31</v>
      </c>
      <c r="J82" s="8">
        <v>1420.29375</v>
      </c>
      <c r="K82" s="9">
        <f t="shared" si="100"/>
        <v>0.03708430298</v>
      </c>
      <c r="L82" s="9">
        <f t="shared" si="101"/>
        <v>0.04416184971</v>
      </c>
      <c r="M82" s="9">
        <f t="shared" si="102"/>
        <v>0.05214948828</v>
      </c>
      <c r="N82" s="9">
        <f t="shared" si="103"/>
        <v>0.05946250282</v>
      </c>
      <c r="O82" s="9">
        <f t="shared" si="104"/>
        <v>0.06620655356</v>
      </c>
      <c r="P82" s="10" t="b">
        <f t="shared" ref="P82:T82" si="113">F82&gt;$E82</f>
        <v>1</v>
      </c>
      <c r="Q82" s="10" t="b">
        <f t="shared" si="113"/>
        <v>1</v>
      </c>
      <c r="R82" s="10" t="b">
        <f t="shared" si="113"/>
        <v>1</v>
      </c>
      <c r="S82" s="10" t="b">
        <f t="shared" si="113"/>
        <v>1</v>
      </c>
      <c r="T82" s="10" t="b">
        <f t="shared" si="113"/>
        <v>1</v>
      </c>
    </row>
    <row r="83" ht="15.75" customHeight="1">
      <c r="A83" s="5">
        <v>45043.0</v>
      </c>
      <c r="B83" s="6" t="s">
        <v>40</v>
      </c>
      <c r="C83" s="5">
        <v>45040.0</v>
      </c>
      <c r="D83" s="7">
        <v>1360.0</v>
      </c>
      <c r="E83" s="7">
        <v>1374.45</v>
      </c>
      <c r="F83" s="8">
        <v>1424.325</v>
      </c>
      <c r="G83" s="8">
        <v>1433.042</v>
      </c>
      <c r="H83" s="8">
        <v>1439.995</v>
      </c>
      <c r="I83" s="8">
        <v>1451.38142857142</v>
      </c>
      <c r="J83" s="8">
        <v>1459.54375</v>
      </c>
      <c r="K83" s="9">
        <f t="shared" si="100"/>
        <v>0.03628724217</v>
      </c>
      <c r="L83" s="9">
        <f t="shared" si="101"/>
        <v>0.0426294154</v>
      </c>
      <c r="M83" s="9">
        <f t="shared" si="102"/>
        <v>0.04768816618</v>
      </c>
      <c r="N83" s="9">
        <f t="shared" si="103"/>
        <v>0.05597251888</v>
      </c>
      <c r="O83" s="9">
        <f t="shared" si="104"/>
        <v>0.06191112809</v>
      </c>
      <c r="P83" s="10" t="b">
        <f t="shared" ref="P83:T83" si="114">F83&gt;$E83</f>
        <v>1</v>
      </c>
      <c r="Q83" s="10" t="b">
        <f t="shared" si="114"/>
        <v>1</v>
      </c>
      <c r="R83" s="10" t="b">
        <f t="shared" si="114"/>
        <v>1</v>
      </c>
      <c r="S83" s="10" t="b">
        <f t="shared" si="114"/>
        <v>1</v>
      </c>
      <c r="T83" s="10" t="b">
        <f t="shared" si="114"/>
        <v>1</v>
      </c>
    </row>
    <row r="84" ht="15.75" customHeight="1">
      <c r="A84" s="5">
        <v>45093.0</v>
      </c>
      <c r="B84" s="6" t="s">
        <v>40</v>
      </c>
      <c r="C84" s="5">
        <v>45089.0</v>
      </c>
      <c r="D84" s="7">
        <v>1508.6</v>
      </c>
      <c r="E84" s="7">
        <v>1507.65</v>
      </c>
      <c r="F84" s="8">
        <v>1587.775</v>
      </c>
      <c r="G84" s="8">
        <v>1595.508</v>
      </c>
      <c r="H84" s="8">
        <v>1585.51</v>
      </c>
      <c r="I84" s="8">
        <v>1575.12714285714</v>
      </c>
      <c r="J84" s="8">
        <v>1562.41625</v>
      </c>
      <c r="K84" s="9">
        <f t="shared" si="100"/>
        <v>0.05314562398</v>
      </c>
      <c r="L84" s="9">
        <f t="shared" si="101"/>
        <v>0.05827479853</v>
      </c>
      <c r="M84" s="9">
        <f t="shared" si="102"/>
        <v>0.05164328591</v>
      </c>
      <c r="N84" s="9">
        <f t="shared" si="103"/>
        <v>0.04475650374</v>
      </c>
      <c r="O84" s="9">
        <f t="shared" si="104"/>
        <v>0.03632557291</v>
      </c>
      <c r="P84" s="10" t="b">
        <f t="shared" ref="P84:T84" si="115">F84&gt;$E84</f>
        <v>1</v>
      </c>
      <c r="Q84" s="10" t="b">
        <f t="shared" si="115"/>
        <v>1</v>
      </c>
      <c r="R84" s="10" t="b">
        <f t="shared" si="115"/>
        <v>1</v>
      </c>
      <c r="S84" s="10" t="b">
        <f t="shared" si="115"/>
        <v>1</v>
      </c>
      <c r="T84" s="10" t="b">
        <f t="shared" si="115"/>
        <v>1</v>
      </c>
    </row>
    <row r="85" ht="15.75" customHeight="1">
      <c r="A85" s="5">
        <v>45111.0</v>
      </c>
      <c r="B85" s="6" t="s">
        <v>40</v>
      </c>
      <c r="C85" s="5">
        <v>45110.0</v>
      </c>
      <c r="D85" s="7">
        <v>1629.5</v>
      </c>
      <c r="E85" s="7">
        <v>1597.8</v>
      </c>
      <c r="F85" s="8">
        <v>1593.71999999999</v>
      </c>
      <c r="G85" s="8">
        <v>1576.48799999999</v>
      </c>
      <c r="H85" s="8">
        <v>1558.83833333333</v>
      </c>
      <c r="I85" s="8">
        <v>1548.88857142857</v>
      </c>
      <c r="J85" s="8">
        <v>1545.98648648648</v>
      </c>
      <c r="K85" s="9">
        <f t="shared" si="100"/>
        <v>-0.002553511078</v>
      </c>
      <c r="L85" s="9">
        <f t="shared" si="101"/>
        <v>-0.01333834022</v>
      </c>
      <c r="M85" s="9">
        <f t="shared" si="102"/>
        <v>-0.02438457045</v>
      </c>
      <c r="N85" s="9">
        <f t="shared" si="103"/>
        <v>-0.03061173399</v>
      </c>
      <c r="O85" s="9">
        <f t="shared" si="104"/>
        <v>-0.03242803449</v>
      </c>
      <c r="P85" s="10" t="b">
        <f t="shared" ref="P85:T85" si="116">F85&gt;$E85</f>
        <v>0</v>
      </c>
      <c r="Q85" s="10" t="b">
        <f t="shared" si="116"/>
        <v>0</v>
      </c>
      <c r="R85" s="10" t="b">
        <f t="shared" si="116"/>
        <v>0</v>
      </c>
      <c r="S85" s="10" t="b">
        <f t="shared" si="116"/>
        <v>0</v>
      </c>
      <c r="T85" s="10" t="b">
        <f t="shared" si="116"/>
        <v>0</v>
      </c>
    </row>
    <row r="86" ht="15.75" customHeight="1">
      <c r="A86" s="5">
        <v>44944.0</v>
      </c>
      <c r="B86" s="6" t="s">
        <v>41</v>
      </c>
      <c r="C86" s="5">
        <v>44942.0</v>
      </c>
      <c r="D86" s="7">
        <v>403.2</v>
      </c>
      <c r="E86" s="7">
        <v>406.6</v>
      </c>
      <c r="F86" s="8">
        <v>404.035</v>
      </c>
      <c r="G86" s="8">
        <v>401.452</v>
      </c>
      <c r="H86" s="8">
        <v>399.708333333333</v>
      </c>
      <c r="I86" s="8">
        <v>396.967142857142</v>
      </c>
      <c r="J86" s="8">
        <v>393.295</v>
      </c>
      <c r="K86" s="9">
        <f t="shared" si="100"/>
        <v>-0.006308411215</v>
      </c>
      <c r="L86" s="9">
        <f t="shared" si="101"/>
        <v>-0.01266109198</v>
      </c>
      <c r="M86" s="9">
        <f t="shared" si="102"/>
        <v>-0.01694949992</v>
      </c>
      <c r="N86" s="9">
        <f t="shared" si="103"/>
        <v>-0.02369123744</v>
      </c>
      <c r="O86" s="9">
        <f t="shared" si="104"/>
        <v>-0.03272257747</v>
      </c>
      <c r="P86" s="10" t="b">
        <f t="shared" ref="P86:T86" si="117">F86&gt;$E86</f>
        <v>0</v>
      </c>
      <c r="Q86" s="10" t="b">
        <f t="shared" si="117"/>
        <v>0</v>
      </c>
      <c r="R86" s="10" t="b">
        <f t="shared" si="117"/>
        <v>0</v>
      </c>
      <c r="S86" s="10" t="b">
        <f t="shared" si="117"/>
        <v>0</v>
      </c>
      <c r="T86" s="10" t="b">
        <f t="shared" si="117"/>
        <v>0</v>
      </c>
    </row>
    <row r="87" ht="15.75" customHeight="1">
      <c r="A87" s="5">
        <v>45040.0</v>
      </c>
      <c r="B87" s="6" t="s">
        <v>41</v>
      </c>
      <c r="C87" s="5">
        <v>45040.0</v>
      </c>
      <c r="D87" s="7">
        <v>377.95</v>
      </c>
      <c r="E87" s="7">
        <v>385.0</v>
      </c>
      <c r="F87" s="8">
        <v>388.167499999999</v>
      </c>
      <c r="G87" s="8">
        <v>391.432</v>
      </c>
      <c r="H87" s="8">
        <v>392.7</v>
      </c>
      <c r="I87" s="8">
        <v>392.097142857142</v>
      </c>
      <c r="J87" s="8">
        <v>390.86375</v>
      </c>
      <c r="K87" s="9">
        <f t="shared" si="100"/>
        <v>0.008227272727</v>
      </c>
      <c r="L87" s="9">
        <f t="shared" si="101"/>
        <v>0.01670649351</v>
      </c>
      <c r="M87" s="9">
        <f t="shared" si="102"/>
        <v>0.02</v>
      </c>
      <c r="N87" s="9">
        <f t="shared" si="103"/>
        <v>0.01843413729</v>
      </c>
      <c r="O87" s="9">
        <f t="shared" si="104"/>
        <v>0.01523051948</v>
      </c>
      <c r="P87" s="10" t="b">
        <f t="shared" ref="P87:T87" si="118">F87&gt;$E87</f>
        <v>1</v>
      </c>
      <c r="Q87" s="10" t="b">
        <f t="shared" si="118"/>
        <v>1</v>
      </c>
      <c r="R87" s="10" t="b">
        <f t="shared" si="118"/>
        <v>1</v>
      </c>
      <c r="S87" s="10" t="b">
        <f t="shared" si="118"/>
        <v>1</v>
      </c>
      <c r="T87" s="10" t="b">
        <f t="shared" si="118"/>
        <v>1</v>
      </c>
    </row>
    <row r="88" ht="15.75" customHeight="1">
      <c r="A88" s="5">
        <v>45068.0</v>
      </c>
      <c r="B88" s="6" t="s">
        <v>41</v>
      </c>
      <c r="C88" s="5">
        <v>45068.0</v>
      </c>
      <c r="D88" s="7">
        <v>395.75</v>
      </c>
      <c r="E88" s="7">
        <v>401.7</v>
      </c>
      <c r="F88" s="8">
        <v>394.505</v>
      </c>
      <c r="G88" s="8">
        <v>392.677999999999</v>
      </c>
      <c r="H88" s="8">
        <v>392.96</v>
      </c>
      <c r="I88" s="8">
        <v>393.922857142857</v>
      </c>
      <c r="J88" s="8">
        <v>396.22125</v>
      </c>
      <c r="K88" s="9">
        <f t="shared" si="100"/>
        <v>-0.01791137665</v>
      </c>
      <c r="L88" s="9">
        <f t="shared" si="101"/>
        <v>-0.02245954693</v>
      </c>
      <c r="M88" s="9">
        <f t="shared" si="102"/>
        <v>-0.0217575305</v>
      </c>
      <c r="N88" s="9">
        <f t="shared" si="103"/>
        <v>-0.0193605747</v>
      </c>
      <c r="O88" s="9">
        <f t="shared" si="104"/>
        <v>-0.01363890963</v>
      </c>
      <c r="P88" s="10" t="b">
        <f t="shared" ref="P88:T88" si="119">F88&gt;$E88</f>
        <v>0</v>
      </c>
      <c r="Q88" s="10" t="b">
        <f t="shared" si="119"/>
        <v>0</v>
      </c>
      <c r="R88" s="10" t="b">
        <f t="shared" si="119"/>
        <v>0</v>
      </c>
      <c r="S88" s="10" t="b">
        <f t="shared" si="119"/>
        <v>0</v>
      </c>
      <c r="T88" s="10" t="b">
        <f t="shared" si="119"/>
        <v>0</v>
      </c>
    </row>
    <row r="89" ht="15.75" customHeight="1">
      <c r="A89" s="5">
        <v>45107.0</v>
      </c>
      <c r="B89" s="6" t="s">
        <v>41</v>
      </c>
      <c r="C89" s="5">
        <v>45103.0</v>
      </c>
      <c r="D89" s="7">
        <v>389.15</v>
      </c>
      <c r="E89" s="7">
        <v>396.2</v>
      </c>
      <c r="F89" s="8">
        <v>403.107499999999</v>
      </c>
      <c r="G89" s="8">
        <v>405.397999999999</v>
      </c>
      <c r="H89" s="8">
        <v>407.034999999999</v>
      </c>
      <c r="I89" s="8">
        <v>408.011428571428</v>
      </c>
      <c r="J89" s="8">
        <v>408.003846153846</v>
      </c>
      <c r="K89" s="9">
        <f t="shared" si="100"/>
        <v>0.01743437658</v>
      </c>
      <c r="L89" s="9">
        <f t="shared" si="101"/>
        <v>0.0232155477</v>
      </c>
      <c r="M89" s="9">
        <f t="shared" si="102"/>
        <v>0.02734729934</v>
      </c>
      <c r="N89" s="9">
        <f t="shared" si="103"/>
        <v>0.02981178337</v>
      </c>
      <c r="O89" s="9">
        <f t="shared" si="104"/>
        <v>0.02979264552</v>
      </c>
      <c r="P89" s="10" t="b">
        <f t="shared" ref="P89:T89" si="120">F89&gt;$E89</f>
        <v>1</v>
      </c>
      <c r="Q89" s="10" t="b">
        <f t="shared" si="120"/>
        <v>1</v>
      </c>
      <c r="R89" s="10" t="b">
        <f t="shared" si="120"/>
        <v>1</v>
      </c>
      <c r="S89" s="10" t="b">
        <f t="shared" si="120"/>
        <v>1</v>
      </c>
      <c r="T89" s="10" t="b">
        <f t="shared" si="120"/>
        <v>1</v>
      </c>
    </row>
    <row r="90" ht="15.75" customHeight="1">
      <c r="A90" s="5">
        <v>45121.0</v>
      </c>
      <c r="B90" s="6" t="s">
        <v>41</v>
      </c>
      <c r="C90" s="5">
        <v>45117.0</v>
      </c>
      <c r="D90" s="7">
        <v>405.05</v>
      </c>
      <c r="E90" s="7">
        <v>417.65</v>
      </c>
      <c r="F90" s="8">
        <v>408.6975</v>
      </c>
      <c r="G90" s="8">
        <v>409.731999999999</v>
      </c>
      <c r="H90" s="8">
        <v>409.48448275862</v>
      </c>
      <c r="I90" s="11"/>
      <c r="J90" s="11"/>
      <c r="K90" s="9">
        <f t="shared" si="100"/>
        <v>-0.02143541243</v>
      </c>
      <c r="L90" s="9">
        <f t="shared" si="101"/>
        <v>-0.01895845804</v>
      </c>
      <c r="M90" s="9">
        <f t="shared" si="102"/>
        <v>-0.01955110078</v>
      </c>
      <c r="N90" s="9"/>
      <c r="O90" s="9"/>
      <c r="P90" s="10" t="b">
        <f t="shared" ref="P90:R90" si="121">F90&gt;$E90</f>
        <v>0</v>
      </c>
      <c r="Q90" s="10" t="b">
        <f t="shared" si="121"/>
        <v>0</v>
      </c>
      <c r="R90" s="10" t="b">
        <f t="shared" si="121"/>
        <v>0</v>
      </c>
      <c r="S90" s="10"/>
      <c r="T90" s="10"/>
    </row>
    <row r="91" ht="15.75" customHeight="1">
      <c r="A91" s="5">
        <v>45028.0</v>
      </c>
      <c r="B91" s="6" t="s">
        <v>42</v>
      </c>
      <c r="C91" s="5">
        <v>45026.0</v>
      </c>
      <c r="D91" s="7">
        <v>1847.25</v>
      </c>
      <c r="E91" s="7">
        <v>1853.85</v>
      </c>
      <c r="F91" s="8">
        <v>1886.4275</v>
      </c>
      <c r="G91" s="8">
        <v>1986.29799999999</v>
      </c>
      <c r="H91" s="8">
        <v>2073.92666666666</v>
      </c>
      <c r="I91" s="8">
        <v>2125.69</v>
      </c>
      <c r="J91" s="8">
        <v>2168.51125</v>
      </c>
      <c r="K91" s="9">
        <f t="shared" si="100"/>
        <v>0.01757288885</v>
      </c>
      <c r="L91" s="9">
        <f t="shared" si="101"/>
        <v>0.07144483103</v>
      </c>
      <c r="M91" s="9">
        <f t="shared" si="102"/>
        <v>0.1187133083</v>
      </c>
      <c r="N91" s="9">
        <f t="shared" ref="N91:N98" si="123">((I91-E91)/E91)</f>
        <v>0.1466353804</v>
      </c>
      <c r="O91" s="9">
        <f t="shared" ref="O91:O95" si="124">((J91-E91)/E91)</f>
        <v>0.1697339321</v>
      </c>
      <c r="P91" s="10" t="b">
        <f t="shared" ref="P91:T91" si="122">F91&gt;$E91</f>
        <v>1</v>
      </c>
      <c r="Q91" s="10" t="b">
        <f t="shared" si="122"/>
        <v>1</v>
      </c>
      <c r="R91" s="10" t="b">
        <f t="shared" si="122"/>
        <v>1</v>
      </c>
      <c r="S91" s="10" t="b">
        <f t="shared" si="122"/>
        <v>1</v>
      </c>
      <c r="T91" s="10" t="b">
        <f t="shared" si="122"/>
        <v>1</v>
      </c>
    </row>
    <row r="92" ht="15.75" customHeight="1">
      <c r="A92" s="5">
        <v>45068.0</v>
      </c>
      <c r="B92" s="6" t="s">
        <v>42</v>
      </c>
      <c r="C92" s="5">
        <v>45068.0</v>
      </c>
      <c r="D92" s="7">
        <v>2326.1</v>
      </c>
      <c r="E92" s="7">
        <v>2544.35</v>
      </c>
      <c r="F92" s="8">
        <v>2445.06</v>
      </c>
      <c r="G92" s="8">
        <v>2421.57</v>
      </c>
      <c r="H92" s="8">
        <v>2417.29499999999</v>
      </c>
      <c r="I92" s="8">
        <v>2413.61</v>
      </c>
      <c r="J92" s="8">
        <v>2414.28125</v>
      </c>
      <c r="K92" s="9">
        <f t="shared" si="100"/>
        <v>-0.03902371922</v>
      </c>
      <c r="L92" s="9">
        <f t="shared" si="101"/>
        <v>-0.04825593963</v>
      </c>
      <c r="M92" s="9">
        <f t="shared" si="102"/>
        <v>-0.049936133</v>
      </c>
      <c r="N92" s="9">
        <f t="shared" si="123"/>
        <v>-0.05138444003</v>
      </c>
      <c r="O92" s="9">
        <f t="shared" si="124"/>
        <v>-0.0511206202</v>
      </c>
      <c r="P92" s="10" t="b">
        <f t="shared" ref="P92:T92" si="125">F92&gt;$E92</f>
        <v>0</v>
      </c>
      <c r="Q92" s="10" t="b">
        <f t="shared" si="125"/>
        <v>0</v>
      </c>
      <c r="R92" s="10" t="b">
        <f t="shared" si="125"/>
        <v>0</v>
      </c>
      <c r="S92" s="10" t="b">
        <f t="shared" si="125"/>
        <v>0</v>
      </c>
      <c r="T92" s="10" t="b">
        <f t="shared" si="125"/>
        <v>0</v>
      </c>
    </row>
    <row r="93" ht="15.75" customHeight="1">
      <c r="A93" s="5">
        <v>44945.0</v>
      </c>
      <c r="B93" s="6" t="s">
        <v>43</v>
      </c>
      <c r="C93" s="5">
        <v>44942.0</v>
      </c>
      <c r="D93" s="7">
        <v>151.75</v>
      </c>
      <c r="E93" s="7">
        <v>152.45</v>
      </c>
      <c r="F93" s="8">
        <v>148.41</v>
      </c>
      <c r="G93" s="8">
        <v>149.573999999999</v>
      </c>
      <c r="H93" s="8">
        <v>150.738333333333</v>
      </c>
      <c r="I93" s="8">
        <v>151.118571428571</v>
      </c>
      <c r="J93" s="8">
        <v>151.16875</v>
      </c>
      <c r="K93" s="9">
        <f t="shared" si="100"/>
        <v>-0.02650049196</v>
      </c>
      <c r="L93" s="9">
        <f t="shared" si="101"/>
        <v>-0.01886520171</v>
      </c>
      <c r="M93" s="9">
        <f t="shared" si="102"/>
        <v>-0.01122772494</v>
      </c>
      <c r="N93" s="9">
        <f t="shared" si="123"/>
        <v>-0.008733542614</v>
      </c>
      <c r="O93" s="9">
        <f t="shared" si="124"/>
        <v>-0.008404394884</v>
      </c>
      <c r="P93" s="10" t="b">
        <f t="shared" ref="P93:T93" si="126">F93&gt;$E93</f>
        <v>0</v>
      </c>
      <c r="Q93" s="10" t="b">
        <f t="shared" si="126"/>
        <v>0</v>
      </c>
      <c r="R93" s="10" t="b">
        <f t="shared" si="126"/>
        <v>0</v>
      </c>
      <c r="S93" s="10" t="b">
        <f t="shared" si="126"/>
        <v>0</v>
      </c>
      <c r="T93" s="10" t="b">
        <f t="shared" si="126"/>
        <v>0</v>
      </c>
    </row>
    <row r="94" ht="15.75" customHeight="1">
      <c r="A94" s="5">
        <v>44973.0</v>
      </c>
      <c r="B94" s="6" t="s">
        <v>43</v>
      </c>
      <c r="C94" s="5">
        <v>44970.0</v>
      </c>
      <c r="D94" s="7">
        <v>155.9</v>
      </c>
      <c r="E94" s="7">
        <v>153.6</v>
      </c>
      <c r="F94" s="8">
        <v>154.19</v>
      </c>
      <c r="G94" s="8">
        <v>153.242</v>
      </c>
      <c r="H94" s="8">
        <v>153.48</v>
      </c>
      <c r="I94" s="8">
        <v>154.318571428571</v>
      </c>
      <c r="J94" s="8">
        <v>155.048749999999</v>
      </c>
      <c r="K94" s="9">
        <f t="shared" si="100"/>
        <v>0.003841145833</v>
      </c>
      <c r="L94" s="9">
        <f t="shared" si="101"/>
        <v>-0.002330729167</v>
      </c>
      <c r="M94" s="9">
        <f t="shared" si="102"/>
        <v>-0.00078125</v>
      </c>
      <c r="N94" s="9">
        <f t="shared" si="123"/>
        <v>0.004678199405</v>
      </c>
      <c r="O94" s="9">
        <f t="shared" si="124"/>
        <v>0.009431966146</v>
      </c>
      <c r="P94" s="10" t="b">
        <f t="shared" ref="P94:T94" si="127">F94&gt;$E94</f>
        <v>1</v>
      </c>
      <c r="Q94" s="10" t="b">
        <f t="shared" si="127"/>
        <v>0</v>
      </c>
      <c r="R94" s="10" t="b">
        <f t="shared" si="127"/>
        <v>0</v>
      </c>
      <c r="S94" s="10" t="b">
        <f t="shared" si="127"/>
        <v>1</v>
      </c>
      <c r="T94" s="10" t="b">
        <f t="shared" si="127"/>
        <v>1</v>
      </c>
    </row>
    <row r="95" ht="15.75" customHeight="1">
      <c r="A95" s="5">
        <v>45091.0</v>
      </c>
      <c r="B95" s="6" t="s">
        <v>43</v>
      </c>
      <c r="C95" s="5">
        <v>45089.0</v>
      </c>
      <c r="D95" s="7">
        <v>157.85</v>
      </c>
      <c r="E95" s="7">
        <v>157.25</v>
      </c>
      <c r="F95" s="8">
        <v>162.8425</v>
      </c>
      <c r="G95" s="8">
        <v>164.462</v>
      </c>
      <c r="H95" s="8">
        <v>166.135</v>
      </c>
      <c r="I95" s="8">
        <v>167.22</v>
      </c>
      <c r="J95" s="8">
        <v>168.58375</v>
      </c>
      <c r="K95" s="9">
        <f t="shared" si="100"/>
        <v>0.03556438792</v>
      </c>
      <c r="L95" s="9">
        <f t="shared" si="101"/>
        <v>0.04586327504</v>
      </c>
      <c r="M95" s="9">
        <f t="shared" si="102"/>
        <v>0.05650238474</v>
      </c>
      <c r="N95" s="9">
        <f t="shared" si="123"/>
        <v>0.06340222576</v>
      </c>
      <c r="O95" s="9">
        <f t="shared" si="124"/>
        <v>0.07207472178</v>
      </c>
      <c r="P95" s="10" t="b">
        <f t="shared" ref="P95:T95" si="128">F95&gt;$E95</f>
        <v>1</v>
      </c>
      <c r="Q95" s="10" t="b">
        <f t="shared" si="128"/>
        <v>1</v>
      </c>
      <c r="R95" s="10" t="b">
        <f t="shared" si="128"/>
        <v>1</v>
      </c>
      <c r="S95" s="10" t="b">
        <f t="shared" si="128"/>
        <v>1</v>
      </c>
      <c r="T95" s="10" t="b">
        <f t="shared" si="128"/>
        <v>1</v>
      </c>
    </row>
    <row r="96" ht="15.75" customHeight="1">
      <c r="A96" s="5">
        <v>45119.0</v>
      </c>
      <c r="B96" s="6" t="s">
        <v>43</v>
      </c>
      <c r="C96" s="5">
        <v>45117.0</v>
      </c>
      <c r="D96" s="7">
        <v>167.65</v>
      </c>
      <c r="E96" s="7">
        <v>166.9</v>
      </c>
      <c r="F96" s="8">
        <v>173.775</v>
      </c>
      <c r="G96" s="8">
        <v>174.25</v>
      </c>
      <c r="H96" s="8">
        <v>174.356666666666</v>
      </c>
      <c r="I96" s="8">
        <v>174.35</v>
      </c>
      <c r="J96" s="11"/>
      <c r="K96" s="9">
        <f t="shared" si="100"/>
        <v>0.04119233074</v>
      </c>
      <c r="L96" s="9">
        <f t="shared" si="101"/>
        <v>0.04403834632</v>
      </c>
      <c r="M96" s="9">
        <f t="shared" si="102"/>
        <v>0.04467745157</v>
      </c>
      <c r="N96" s="9">
        <f t="shared" si="123"/>
        <v>0.04463750749</v>
      </c>
      <c r="O96" s="9"/>
      <c r="P96" s="10" t="b">
        <f t="shared" ref="P96:S96" si="129">F96&gt;$E96</f>
        <v>1</v>
      </c>
      <c r="Q96" s="10" t="b">
        <f t="shared" si="129"/>
        <v>1</v>
      </c>
      <c r="R96" s="10" t="b">
        <f t="shared" si="129"/>
        <v>1</v>
      </c>
      <c r="S96" s="10" t="b">
        <f t="shared" si="129"/>
        <v>1</v>
      </c>
      <c r="T96" s="10"/>
    </row>
    <row r="97" ht="15.75" customHeight="1">
      <c r="A97" s="5">
        <v>45048.0</v>
      </c>
      <c r="B97" s="6" t="s">
        <v>44</v>
      </c>
      <c r="C97" s="5">
        <v>45047.0</v>
      </c>
      <c r="D97" s="7">
        <v>175.6</v>
      </c>
      <c r="E97" s="7">
        <v>177.05</v>
      </c>
      <c r="F97" s="8">
        <v>175.3775</v>
      </c>
      <c r="G97" s="8">
        <v>176.433999999999</v>
      </c>
      <c r="H97" s="8">
        <v>178.138333333333</v>
      </c>
      <c r="I97" s="8">
        <v>179.292857142857</v>
      </c>
      <c r="J97" s="8">
        <v>180.545</v>
      </c>
      <c r="K97" s="9">
        <f t="shared" si="100"/>
        <v>-0.009446484044</v>
      </c>
      <c r="L97" s="9">
        <f t="shared" si="101"/>
        <v>-0.003479243152</v>
      </c>
      <c r="M97" s="9">
        <f t="shared" si="102"/>
        <v>0.006147039443</v>
      </c>
      <c r="N97" s="9">
        <f t="shared" si="123"/>
        <v>0.01266793077</v>
      </c>
      <c r="O97" s="9">
        <f t="shared" ref="O97:O98" si="131">((J97-E97)/E97)</f>
        <v>0.01974018639</v>
      </c>
      <c r="P97" s="10" t="b">
        <f t="shared" ref="P97:T97" si="130">F97&gt;$E97</f>
        <v>0</v>
      </c>
      <c r="Q97" s="10" t="b">
        <f t="shared" si="130"/>
        <v>0</v>
      </c>
      <c r="R97" s="10" t="b">
        <f t="shared" si="130"/>
        <v>1</v>
      </c>
      <c r="S97" s="10" t="b">
        <f t="shared" si="130"/>
        <v>1</v>
      </c>
      <c r="T97" s="10" t="b">
        <f t="shared" si="130"/>
        <v>1</v>
      </c>
    </row>
    <row r="98" ht="15.75" customHeight="1">
      <c r="A98" s="5">
        <v>45085.0</v>
      </c>
      <c r="B98" s="6" t="s">
        <v>44</v>
      </c>
      <c r="C98" s="5">
        <v>45082.0</v>
      </c>
      <c r="D98" s="7">
        <v>182.05</v>
      </c>
      <c r="E98" s="7">
        <v>187.2</v>
      </c>
      <c r="F98" s="8">
        <v>189.19</v>
      </c>
      <c r="G98" s="8">
        <v>189.222</v>
      </c>
      <c r="H98" s="8">
        <v>190.858333333333</v>
      </c>
      <c r="I98" s="8">
        <v>194.812857142857</v>
      </c>
      <c r="J98" s="8">
        <v>197.7</v>
      </c>
      <c r="K98" s="9">
        <f t="shared" si="100"/>
        <v>0.01063034188</v>
      </c>
      <c r="L98" s="9">
        <f t="shared" si="101"/>
        <v>0.01080128205</v>
      </c>
      <c r="M98" s="9">
        <f t="shared" si="102"/>
        <v>0.01954237892</v>
      </c>
      <c r="N98" s="9">
        <f t="shared" si="123"/>
        <v>0.04066697192</v>
      </c>
      <c r="O98" s="9">
        <f t="shared" si="131"/>
        <v>0.05608974359</v>
      </c>
      <c r="P98" s="10" t="b">
        <f t="shared" ref="P98:T98" si="132">F98&gt;$E98</f>
        <v>1</v>
      </c>
      <c r="Q98" s="10" t="b">
        <f t="shared" si="132"/>
        <v>1</v>
      </c>
      <c r="R98" s="10" t="b">
        <f t="shared" si="132"/>
        <v>1</v>
      </c>
      <c r="S98" s="10" t="b">
        <f t="shared" si="132"/>
        <v>1</v>
      </c>
      <c r="T98" s="10" t="b">
        <f t="shared" si="132"/>
        <v>1</v>
      </c>
    </row>
    <row r="99" ht="15.75" customHeight="1">
      <c r="A99" s="5">
        <v>45128.0</v>
      </c>
      <c r="B99" s="6" t="s">
        <v>44</v>
      </c>
      <c r="C99" s="5">
        <v>45124.0</v>
      </c>
      <c r="D99" s="7">
        <v>195.1</v>
      </c>
      <c r="E99" s="7">
        <v>201.95</v>
      </c>
      <c r="F99" s="8">
        <v>217.8775</v>
      </c>
      <c r="G99" s="8">
        <v>218.252083333333</v>
      </c>
      <c r="H99" s="11"/>
      <c r="I99" s="11"/>
      <c r="J99" s="11"/>
      <c r="K99" s="9">
        <f t="shared" si="100"/>
        <v>0.07886853181</v>
      </c>
      <c r="L99" s="9">
        <f t="shared" si="101"/>
        <v>0.08072336387</v>
      </c>
      <c r="M99" s="9"/>
      <c r="N99" s="9"/>
      <c r="O99" s="9"/>
      <c r="P99" s="10" t="b">
        <f t="shared" ref="P99:Q99" si="133">F99&gt;$E99</f>
        <v>1</v>
      </c>
      <c r="Q99" s="10" t="b">
        <f t="shared" si="133"/>
        <v>1</v>
      </c>
      <c r="R99" s="10"/>
      <c r="S99" s="10"/>
      <c r="T99" s="10"/>
    </row>
    <row r="100" ht="15.75" customHeight="1">
      <c r="A100" s="5">
        <v>45014.0</v>
      </c>
      <c r="B100" s="6" t="s">
        <v>45</v>
      </c>
      <c r="C100" s="5">
        <v>45012.0</v>
      </c>
      <c r="D100" s="7">
        <v>678.9</v>
      </c>
      <c r="E100" s="7">
        <v>682.7</v>
      </c>
      <c r="F100" s="8">
        <v>722.8175</v>
      </c>
      <c r="G100" s="8">
        <v>720.09</v>
      </c>
      <c r="H100" s="8">
        <v>716.398333333333</v>
      </c>
      <c r="I100" s="8">
        <v>714.088571428571</v>
      </c>
      <c r="J100" s="8">
        <v>712.871249999999</v>
      </c>
      <c r="K100" s="9">
        <f t="shared" si="100"/>
        <v>0.05876299985</v>
      </c>
      <c r="L100" s="9">
        <f t="shared" si="101"/>
        <v>0.0547678336</v>
      </c>
      <c r="M100" s="9">
        <f t="shared" ref="M100:M109" si="135">((H100-E100)/E100)</f>
        <v>0.04936038279</v>
      </c>
      <c r="N100" s="9">
        <f t="shared" ref="N100:N109" si="136">((I100-E100)/E100)</f>
        <v>0.0459771077</v>
      </c>
      <c r="O100" s="9">
        <f t="shared" ref="O100:O108" si="137">((J100-E100)/E100)</f>
        <v>0.04419400908</v>
      </c>
      <c r="P100" s="10" t="b">
        <f t="shared" ref="P100:T100" si="134">F100&gt;$E100</f>
        <v>1</v>
      </c>
      <c r="Q100" s="10" t="b">
        <f t="shared" si="134"/>
        <v>1</v>
      </c>
      <c r="R100" s="10" t="b">
        <f t="shared" si="134"/>
        <v>1</v>
      </c>
      <c r="S100" s="10" t="b">
        <f t="shared" si="134"/>
        <v>1</v>
      </c>
      <c r="T100" s="10" t="b">
        <f t="shared" si="134"/>
        <v>1</v>
      </c>
    </row>
    <row r="101" ht="15.75" customHeight="1">
      <c r="A101" s="5">
        <v>45027.0</v>
      </c>
      <c r="B101" s="6" t="s">
        <v>45</v>
      </c>
      <c r="C101" s="5">
        <v>45026.0</v>
      </c>
      <c r="D101" s="7">
        <v>713.6</v>
      </c>
      <c r="E101" s="7">
        <v>719.35</v>
      </c>
      <c r="F101" s="8">
        <v>720.79</v>
      </c>
      <c r="G101" s="8">
        <v>716.256</v>
      </c>
      <c r="H101" s="8">
        <v>713.594999999999</v>
      </c>
      <c r="I101" s="8">
        <v>713.23</v>
      </c>
      <c r="J101" s="8">
        <v>718.428749999999</v>
      </c>
      <c r="K101" s="9">
        <f t="shared" si="100"/>
        <v>0.002001807187</v>
      </c>
      <c r="L101" s="9">
        <f t="shared" si="101"/>
        <v>-0.004301105164</v>
      </c>
      <c r="M101" s="9">
        <f t="shared" si="135"/>
        <v>-0.008000278029</v>
      </c>
      <c r="N101" s="9">
        <f t="shared" si="136"/>
        <v>-0.008507680545</v>
      </c>
      <c r="O101" s="9">
        <f t="shared" si="137"/>
        <v>-0.001280670049</v>
      </c>
      <c r="P101" s="10" t="b">
        <f t="shared" ref="P101:T101" si="138">F101&gt;$E101</f>
        <v>1</v>
      </c>
      <c r="Q101" s="10" t="b">
        <f t="shared" si="138"/>
        <v>0</v>
      </c>
      <c r="R101" s="10" t="b">
        <f t="shared" si="138"/>
        <v>0</v>
      </c>
      <c r="S101" s="10" t="b">
        <f t="shared" si="138"/>
        <v>0</v>
      </c>
      <c r="T101" s="10" t="b">
        <f t="shared" si="138"/>
        <v>0</v>
      </c>
    </row>
    <row r="102" ht="15.75" customHeight="1">
      <c r="A102" s="5">
        <v>45084.0</v>
      </c>
      <c r="B102" s="6" t="s">
        <v>45</v>
      </c>
      <c r="C102" s="5">
        <v>45082.0</v>
      </c>
      <c r="D102" s="7">
        <v>729.75</v>
      </c>
      <c r="E102" s="7">
        <v>756.65</v>
      </c>
      <c r="F102" s="8">
        <v>778.0375</v>
      </c>
      <c r="G102" s="8">
        <v>781.948</v>
      </c>
      <c r="H102" s="8">
        <v>783.861666666666</v>
      </c>
      <c r="I102" s="8">
        <v>787.304285714285</v>
      </c>
      <c r="J102" s="8">
        <v>790.096249999999</v>
      </c>
      <c r="K102" s="9">
        <f t="shared" si="100"/>
        <v>0.0282660411</v>
      </c>
      <c r="L102" s="9">
        <f t="shared" si="101"/>
        <v>0.03343421661</v>
      </c>
      <c r="M102" s="9">
        <f t="shared" si="135"/>
        <v>0.03596334721</v>
      </c>
      <c r="N102" s="9">
        <f t="shared" si="136"/>
        <v>0.04051316423</v>
      </c>
      <c r="O102" s="9">
        <f t="shared" si="137"/>
        <v>0.04420306615</v>
      </c>
      <c r="P102" s="10" t="b">
        <f t="shared" ref="P102:T102" si="139">F102&gt;$E102</f>
        <v>1</v>
      </c>
      <c r="Q102" s="10" t="b">
        <f t="shared" si="139"/>
        <v>1</v>
      </c>
      <c r="R102" s="10" t="b">
        <f t="shared" si="139"/>
        <v>1</v>
      </c>
      <c r="S102" s="10" t="b">
        <f t="shared" si="139"/>
        <v>1</v>
      </c>
      <c r="T102" s="10" t="b">
        <f t="shared" si="139"/>
        <v>1</v>
      </c>
    </row>
    <row r="103" ht="15.75" customHeight="1">
      <c r="A103" s="5">
        <v>44935.0</v>
      </c>
      <c r="B103" s="6" t="s">
        <v>46</v>
      </c>
      <c r="C103" s="5">
        <v>44935.0</v>
      </c>
      <c r="D103" s="7">
        <v>1310.35</v>
      </c>
      <c r="E103" s="7">
        <v>1328.15</v>
      </c>
      <c r="F103" s="8">
        <v>1344.3075</v>
      </c>
      <c r="G103" s="8">
        <v>1347.382</v>
      </c>
      <c r="H103" s="8">
        <v>1340.25666666666</v>
      </c>
      <c r="I103" s="8">
        <v>1329.71571428571</v>
      </c>
      <c r="J103" s="8">
        <v>1316.4775</v>
      </c>
      <c r="K103" s="9">
        <f t="shared" si="100"/>
        <v>0.01216541806</v>
      </c>
      <c r="L103" s="9">
        <f t="shared" si="101"/>
        <v>0.01448029214</v>
      </c>
      <c r="M103" s="9">
        <f t="shared" si="135"/>
        <v>0.009115436258</v>
      </c>
      <c r="N103" s="9">
        <f t="shared" si="136"/>
        <v>0.001178868566</v>
      </c>
      <c r="O103" s="9">
        <f t="shared" si="137"/>
        <v>-0.008788540451</v>
      </c>
      <c r="P103" s="10" t="b">
        <f t="shared" ref="P103:T103" si="140">F103&gt;$E103</f>
        <v>1</v>
      </c>
      <c r="Q103" s="10" t="b">
        <f t="shared" si="140"/>
        <v>1</v>
      </c>
      <c r="R103" s="10" t="b">
        <f t="shared" si="140"/>
        <v>1</v>
      </c>
      <c r="S103" s="10" t="b">
        <f t="shared" si="140"/>
        <v>1</v>
      </c>
      <c r="T103" s="10" t="b">
        <f t="shared" si="140"/>
        <v>0</v>
      </c>
    </row>
    <row r="104" ht="15.75" customHeight="1">
      <c r="A104" s="5">
        <v>44957.0</v>
      </c>
      <c r="B104" s="6" t="s">
        <v>46</v>
      </c>
      <c r="C104" s="5">
        <v>44956.0</v>
      </c>
      <c r="D104" s="7">
        <v>1378.75</v>
      </c>
      <c r="E104" s="7">
        <v>1376.0</v>
      </c>
      <c r="F104" s="8">
        <v>1324.215</v>
      </c>
      <c r="G104" s="8">
        <v>1304.134</v>
      </c>
      <c r="H104" s="8">
        <v>1281.00666666666</v>
      </c>
      <c r="I104" s="8">
        <v>1262.17857142857</v>
      </c>
      <c r="J104" s="8">
        <v>1249.39625</v>
      </c>
      <c r="K104" s="9">
        <f t="shared" si="100"/>
        <v>-0.03763444767</v>
      </c>
      <c r="L104" s="9">
        <f t="shared" si="101"/>
        <v>-0.05222819767</v>
      </c>
      <c r="M104" s="9">
        <f t="shared" si="135"/>
        <v>-0.06903585271</v>
      </c>
      <c r="N104" s="9">
        <f t="shared" si="136"/>
        <v>-0.08271906146</v>
      </c>
      <c r="O104" s="9">
        <f t="shared" si="137"/>
        <v>-0.09200853924</v>
      </c>
      <c r="P104" s="10" t="b">
        <f t="shared" ref="P104:T104" si="141">F104&gt;$E104</f>
        <v>0</v>
      </c>
      <c r="Q104" s="10" t="b">
        <f t="shared" si="141"/>
        <v>0</v>
      </c>
      <c r="R104" s="10" t="b">
        <f t="shared" si="141"/>
        <v>0</v>
      </c>
      <c r="S104" s="10" t="b">
        <f t="shared" si="141"/>
        <v>0</v>
      </c>
      <c r="T104" s="10" t="b">
        <f t="shared" si="141"/>
        <v>0</v>
      </c>
    </row>
    <row r="105" ht="15.75" customHeight="1">
      <c r="A105" s="5">
        <v>45055.0</v>
      </c>
      <c r="B105" s="6" t="s">
        <v>46</v>
      </c>
      <c r="C105" s="5">
        <v>45054.0</v>
      </c>
      <c r="D105" s="7">
        <v>1245.45</v>
      </c>
      <c r="E105" s="7">
        <v>1285.65</v>
      </c>
      <c r="F105" s="8">
        <v>1319.245</v>
      </c>
      <c r="G105" s="8">
        <v>1333.434</v>
      </c>
      <c r="H105" s="8">
        <v>1341.87166666666</v>
      </c>
      <c r="I105" s="8">
        <v>1355.62714285714</v>
      </c>
      <c r="J105" s="8">
        <v>1378.9025</v>
      </c>
      <c r="K105" s="9">
        <f t="shared" si="100"/>
        <v>0.02613075098</v>
      </c>
      <c r="L105" s="9">
        <f t="shared" si="101"/>
        <v>0.03716719169</v>
      </c>
      <c r="M105" s="9">
        <f t="shared" si="135"/>
        <v>0.04373014947</v>
      </c>
      <c r="N105" s="9">
        <f t="shared" si="136"/>
        <v>0.05442938814</v>
      </c>
      <c r="O105" s="9">
        <f t="shared" si="137"/>
        <v>0.07253334889</v>
      </c>
      <c r="P105" s="10" t="b">
        <f t="shared" ref="P105:T105" si="142">F105&gt;$E105</f>
        <v>1</v>
      </c>
      <c r="Q105" s="10" t="b">
        <f t="shared" si="142"/>
        <v>1</v>
      </c>
      <c r="R105" s="10" t="b">
        <f t="shared" si="142"/>
        <v>1</v>
      </c>
      <c r="S105" s="10" t="b">
        <f t="shared" si="142"/>
        <v>1</v>
      </c>
      <c r="T105" s="10" t="b">
        <f t="shared" si="142"/>
        <v>1</v>
      </c>
    </row>
    <row r="106" ht="15.75" customHeight="1">
      <c r="A106" s="5">
        <v>45075.0</v>
      </c>
      <c r="B106" s="6" t="s">
        <v>46</v>
      </c>
      <c r="C106" s="5">
        <v>45075.0</v>
      </c>
      <c r="D106" s="7">
        <v>1330.15</v>
      </c>
      <c r="E106" s="7">
        <v>1341.4</v>
      </c>
      <c r="F106" s="8">
        <v>1397.185</v>
      </c>
      <c r="G106" s="8">
        <v>1421.914</v>
      </c>
      <c r="H106" s="8">
        <v>1444.59666666666</v>
      </c>
      <c r="I106" s="8">
        <v>1458.07857142857</v>
      </c>
      <c r="J106" s="8">
        <v>1463.34375</v>
      </c>
      <c r="K106" s="9">
        <f t="shared" si="100"/>
        <v>0.04158714776</v>
      </c>
      <c r="L106" s="9">
        <f t="shared" si="101"/>
        <v>0.06002236469</v>
      </c>
      <c r="M106" s="9">
        <f t="shared" si="135"/>
        <v>0.07693206103</v>
      </c>
      <c r="N106" s="9">
        <f t="shared" si="136"/>
        <v>0.08698268334</v>
      </c>
      <c r="O106" s="9">
        <f t="shared" si="137"/>
        <v>0.09090782019</v>
      </c>
      <c r="P106" s="10" t="b">
        <f t="shared" ref="P106:T106" si="143">F106&gt;$E106</f>
        <v>1</v>
      </c>
      <c r="Q106" s="10" t="b">
        <f t="shared" si="143"/>
        <v>1</v>
      </c>
      <c r="R106" s="10" t="b">
        <f t="shared" si="143"/>
        <v>1</v>
      </c>
      <c r="S106" s="10" t="b">
        <f t="shared" si="143"/>
        <v>1</v>
      </c>
      <c r="T106" s="10" t="b">
        <f t="shared" si="143"/>
        <v>1</v>
      </c>
    </row>
    <row r="107" ht="15.75" customHeight="1">
      <c r="A107" s="5">
        <v>45082.0</v>
      </c>
      <c r="B107" s="6" t="s">
        <v>46</v>
      </c>
      <c r="C107" s="5">
        <v>45082.0</v>
      </c>
      <c r="D107" s="7">
        <v>1395.4</v>
      </c>
      <c r="E107" s="7">
        <v>1370.65</v>
      </c>
      <c r="F107" s="8">
        <v>1429.15749999999</v>
      </c>
      <c r="G107" s="8">
        <v>1454.928</v>
      </c>
      <c r="H107" s="8">
        <v>1468.935</v>
      </c>
      <c r="I107" s="8">
        <v>1473.40142857142</v>
      </c>
      <c r="J107" s="8">
        <v>1475.21</v>
      </c>
      <c r="K107" s="9">
        <f t="shared" si="100"/>
        <v>0.04268595192</v>
      </c>
      <c r="L107" s="9">
        <f t="shared" si="101"/>
        <v>0.06148761536</v>
      </c>
      <c r="M107" s="9">
        <f t="shared" si="135"/>
        <v>0.07170685441</v>
      </c>
      <c r="N107" s="9">
        <f t="shared" si="136"/>
        <v>0.07496547519</v>
      </c>
      <c r="O107" s="9">
        <f t="shared" si="137"/>
        <v>0.07628497428</v>
      </c>
      <c r="P107" s="10" t="b">
        <f t="shared" ref="P107:T107" si="144">F107&gt;$E107</f>
        <v>1</v>
      </c>
      <c r="Q107" s="10" t="b">
        <f t="shared" si="144"/>
        <v>1</v>
      </c>
      <c r="R107" s="10" t="b">
        <f t="shared" si="144"/>
        <v>1</v>
      </c>
      <c r="S107" s="10" t="b">
        <f t="shared" si="144"/>
        <v>1</v>
      </c>
      <c r="T107" s="10" t="b">
        <f t="shared" si="144"/>
        <v>1</v>
      </c>
    </row>
    <row r="108" ht="15.75" customHeight="1">
      <c r="A108" s="5">
        <v>45107.0</v>
      </c>
      <c r="B108" s="6" t="s">
        <v>46</v>
      </c>
      <c r="C108" s="5">
        <v>45103.0</v>
      </c>
      <c r="D108" s="7">
        <v>1453.6</v>
      </c>
      <c r="E108" s="7">
        <v>1548.8</v>
      </c>
      <c r="F108" s="8">
        <v>1527.4625</v>
      </c>
      <c r="G108" s="8">
        <v>1524.82599999999</v>
      </c>
      <c r="H108" s="8">
        <v>1530.35666666666</v>
      </c>
      <c r="I108" s="8">
        <v>1531.55571428571</v>
      </c>
      <c r="J108" s="8">
        <v>1535.20897435897</v>
      </c>
      <c r="K108" s="9">
        <f t="shared" si="100"/>
        <v>-0.01377679494</v>
      </c>
      <c r="L108" s="9">
        <f t="shared" si="101"/>
        <v>-0.01547908058</v>
      </c>
      <c r="M108" s="9">
        <f t="shared" si="135"/>
        <v>-0.01190814394</v>
      </c>
      <c r="N108" s="9">
        <f t="shared" si="136"/>
        <v>-0.01113396547</v>
      </c>
      <c r="O108" s="9">
        <f t="shared" si="137"/>
        <v>-0.008775197341</v>
      </c>
      <c r="P108" s="10" t="b">
        <f t="shared" ref="P108:T108" si="145">F108&gt;$E108</f>
        <v>0</v>
      </c>
      <c r="Q108" s="10" t="b">
        <f t="shared" si="145"/>
        <v>0</v>
      </c>
      <c r="R108" s="10" t="b">
        <f t="shared" si="145"/>
        <v>0</v>
      </c>
      <c r="S108" s="10" t="b">
        <f t="shared" si="145"/>
        <v>0</v>
      </c>
      <c r="T108" s="10" t="b">
        <f t="shared" si="145"/>
        <v>0</v>
      </c>
    </row>
    <row r="109" ht="15.75" customHeight="1">
      <c r="A109" s="5">
        <v>45113.0</v>
      </c>
      <c r="B109" s="6" t="s">
        <v>46</v>
      </c>
      <c r="C109" s="5">
        <v>45110.0</v>
      </c>
      <c r="D109" s="7">
        <v>1548.8</v>
      </c>
      <c r="E109" s="7">
        <v>1570.85</v>
      </c>
      <c r="F109" s="8">
        <v>1515.96999999999</v>
      </c>
      <c r="G109" s="8">
        <v>1524.088</v>
      </c>
      <c r="H109" s="8">
        <v>1527.61833333333</v>
      </c>
      <c r="I109" s="8">
        <v>1531.92285714285</v>
      </c>
      <c r="J109" s="11"/>
      <c r="K109" s="9">
        <f t="shared" si="100"/>
        <v>-0.03493649935</v>
      </c>
      <c r="L109" s="9">
        <f t="shared" si="101"/>
        <v>-0.02976859662</v>
      </c>
      <c r="M109" s="9">
        <f t="shared" si="135"/>
        <v>-0.02752119341</v>
      </c>
      <c r="N109" s="9">
        <f t="shared" si="136"/>
        <v>-0.02478094207</v>
      </c>
      <c r="O109" s="9"/>
      <c r="P109" s="10" t="b">
        <f t="shared" ref="P109:S109" si="146">F109&gt;$E109</f>
        <v>0</v>
      </c>
      <c r="Q109" s="10" t="b">
        <f t="shared" si="146"/>
        <v>0</v>
      </c>
      <c r="R109" s="10" t="b">
        <f t="shared" si="146"/>
        <v>0</v>
      </c>
      <c r="S109" s="10" t="b">
        <f t="shared" si="146"/>
        <v>0</v>
      </c>
      <c r="T109" s="10"/>
    </row>
    <row r="110" ht="15.75" customHeight="1">
      <c r="A110" s="5">
        <v>45147.0</v>
      </c>
      <c r="B110" s="6" t="s">
        <v>46</v>
      </c>
      <c r="C110" s="5">
        <v>45145.0</v>
      </c>
      <c r="D110" s="7">
        <v>1534.75</v>
      </c>
      <c r="E110" s="7">
        <v>1570.6</v>
      </c>
      <c r="F110" s="11"/>
      <c r="G110" s="11"/>
      <c r="H110" s="11"/>
      <c r="I110" s="11"/>
      <c r="J110" s="11"/>
      <c r="K110" s="9"/>
      <c r="L110" s="9"/>
      <c r="M110" s="9"/>
      <c r="N110" s="9"/>
      <c r="O110" s="9"/>
      <c r="P110" s="10"/>
      <c r="Q110" s="10"/>
      <c r="R110" s="10"/>
      <c r="S110" s="10"/>
      <c r="T110" s="10"/>
    </row>
    <row r="111" ht="15.75" customHeight="1">
      <c r="A111" s="5">
        <v>45065.0</v>
      </c>
      <c r="B111" s="6" t="s">
        <v>47</v>
      </c>
      <c r="C111" s="5">
        <v>45061.0</v>
      </c>
      <c r="D111" s="7">
        <v>4803.0</v>
      </c>
      <c r="E111" s="7">
        <v>4910.55</v>
      </c>
      <c r="F111" s="8">
        <v>4956.6525</v>
      </c>
      <c r="G111" s="8">
        <v>4984.812</v>
      </c>
      <c r="H111" s="8">
        <v>5020.56833333333</v>
      </c>
      <c r="I111" s="8">
        <v>5009.76142857142</v>
      </c>
      <c r="J111" s="8">
        <v>5009.39875</v>
      </c>
      <c r="K111" s="9">
        <f t="shared" ref="K111:K137" si="148">((F111-E111)/E111)</f>
        <v>0.009388459541</v>
      </c>
      <c r="L111" s="9">
        <f t="shared" ref="L111:L137" si="149">((G111-E111)/E111)</f>
        <v>0.01512294957</v>
      </c>
      <c r="M111" s="9">
        <f t="shared" ref="M111:M124" si="150">((H111-E111)/E111)</f>
        <v>0.02240448287</v>
      </c>
      <c r="N111" s="9">
        <f t="shared" ref="N111:N124" si="151">((I111-E111)/E111)</f>
        <v>0.02020373045</v>
      </c>
      <c r="O111" s="9">
        <f t="shared" ref="O111:O124" si="152">((J111-E111)/E111)</f>
        <v>0.02012987344</v>
      </c>
      <c r="P111" s="10" t="b">
        <f t="shared" ref="P111:T111" si="147">F111&gt;$E111</f>
        <v>1</v>
      </c>
      <c r="Q111" s="10" t="b">
        <f t="shared" si="147"/>
        <v>1</v>
      </c>
      <c r="R111" s="10" t="b">
        <f t="shared" si="147"/>
        <v>1</v>
      </c>
      <c r="S111" s="10" t="b">
        <f t="shared" si="147"/>
        <v>1</v>
      </c>
      <c r="T111" s="10" t="b">
        <f t="shared" si="147"/>
        <v>1</v>
      </c>
    </row>
    <row r="112" ht="15.75" customHeight="1">
      <c r="A112" s="5">
        <v>45071.0</v>
      </c>
      <c r="B112" s="6" t="s">
        <v>47</v>
      </c>
      <c r="C112" s="5">
        <v>45068.0</v>
      </c>
      <c r="D112" s="7">
        <v>4910.55</v>
      </c>
      <c r="E112" s="7">
        <v>4998.4</v>
      </c>
      <c r="F112" s="8">
        <v>4972.1725</v>
      </c>
      <c r="G112" s="8">
        <v>5020.914</v>
      </c>
      <c r="H112" s="8">
        <v>5008.96333333333</v>
      </c>
      <c r="I112" s="8">
        <v>5013.53</v>
      </c>
      <c r="J112" s="8">
        <v>4996.675</v>
      </c>
      <c r="K112" s="9">
        <f t="shared" si="148"/>
        <v>-0.005247179097</v>
      </c>
      <c r="L112" s="9">
        <f t="shared" si="149"/>
        <v>0.004504241357</v>
      </c>
      <c r="M112" s="9">
        <f t="shared" si="150"/>
        <v>0.002113342936</v>
      </c>
      <c r="N112" s="9">
        <f t="shared" si="151"/>
        <v>0.00302696863</v>
      </c>
      <c r="O112" s="9">
        <f t="shared" si="152"/>
        <v>-0.0003451104353</v>
      </c>
      <c r="P112" s="10" t="b">
        <f t="shared" ref="P112:T112" si="153">F112&gt;$E112</f>
        <v>0</v>
      </c>
      <c r="Q112" s="10" t="b">
        <f t="shared" si="153"/>
        <v>1</v>
      </c>
      <c r="R112" s="10" t="b">
        <f t="shared" si="153"/>
        <v>1</v>
      </c>
      <c r="S112" s="10" t="b">
        <f t="shared" si="153"/>
        <v>1</v>
      </c>
      <c r="T112" s="10" t="b">
        <f t="shared" si="153"/>
        <v>0</v>
      </c>
    </row>
    <row r="113" ht="15.75" customHeight="1">
      <c r="A113" s="5">
        <v>45093.0</v>
      </c>
      <c r="B113" s="6" t="s">
        <v>47</v>
      </c>
      <c r="C113" s="5">
        <v>45089.0</v>
      </c>
      <c r="D113" s="7">
        <v>5010.6</v>
      </c>
      <c r="E113" s="7">
        <v>5026.05</v>
      </c>
      <c r="F113" s="8">
        <v>5062.145</v>
      </c>
      <c r="G113" s="8">
        <v>5022.306</v>
      </c>
      <c r="H113" s="8">
        <v>5003.45</v>
      </c>
      <c r="I113" s="8">
        <v>5015.74857142857</v>
      </c>
      <c r="J113" s="8">
        <v>5031.81625</v>
      </c>
      <c r="K113" s="9">
        <f t="shared" si="148"/>
        <v>0.007181583948</v>
      </c>
      <c r="L113" s="9">
        <f t="shared" si="149"/>
        <v>-0.0007449189722</v>
      </c>
      <c r="M113" s="9">
        <f t="shared" si="150"/>
        <v>-0.004496572855</v>
      </c>
      <c r="N113" s="9">
        <f t="shared" si="151"/>
        <v>-0.00204960726</v>
      </c>
      <c r="O113" s="9">
        <f t="shared" si="152"/>
        <v>0.001147272709</v>
      </c>
      <c r="P113" s="10" t="b">
        <f t="shared" ref="P113:T113" si="154">F113&gt;$E113</f>
        <v>1</v>
      </c>
      <c r="Q113" s="10" t="b">
        <f t="shared" si="154"/>
        <v>0</v>
      </c>
      <c r="R113" s="10" t="b">
        <f t="shared" si="154"/>
        <v>0</v>
      </c>
      <c r="S113" s="10" t="b">
        <f t="shared" si="154"/>
        <v>0</v>
      </c>
      <c r="T113" s="10" t="b">
        <f t="shared" si="154"/>
        <v>1</v>
      </c>
    </row>
    <row r="114" ht="15.75" customHeight="1">
      <c r="A114" s="5">
        <v>44936.0</v>
      </c>
      <c r="B114" s="6" t="s">
        <v>48</v>
      </c>
      <c r="C114" s="5">
        <v>44935.0</v>
      </c>
      <c r="D114" s="7">
        <v>412.9</v>
      </c>
      <c r="E114" s="7">
        <v>413.0</v>
      </c>
      <c r="F114" s="8">
        <v>431.859999999999</v>
      </c>
      <c r="G114" s="8">
        <v>433.694</v>
      </c>
      <c r="H114" s="8">
        <v>432.38</v>
      </c>
      <c r="I114" s="8">
        <v>432.15</v>
      </c>
      <c r="J114" s="8">
        <v>431.0925</v>
      </c>
      <c r="K114" s="9">
        <f t="shared" si="148"/>
        <v>0.04566585956</v>
      </c>
      <c r="L114" s="9">
        <f t="shared" si="149"/>
        <v>0.05010653753</v>
      </c>
      <c r="M114" s="9">
        <f t="shared" si="150"/>
        <v>0.04692493947</v>
      </c>
      <c r="N114" s="9">
        <f t="shared" si="151"/>
        <v>0.04636803874</v>
      </c>
      <c r="O114" s="9">
        <f t="shared" si="152"/>
        <v>0.04380750605</v>
      </c>
      <c r="P114" s="10" t="b">
        <f t="shared" ref="P114:T114" si="155">F114&gt;$E114</f>
        <v>1</v>
      </c>
      <c r="Q114" s="10" t="b">
        <f t="shared" si="155"/>
        <v>1</v>
      </c>
      <c r="R114" s="10" t="b">
        <f t="shared" si="155"/>
        <v>1</v>
      </c>
      <c r="S114" s="10" t="b">
        <f t="shared" si="155"/>
        <v>1</v>
      </c>
      <c r="T114" s="10" t="b">
        <f t="shared" si="155"/>
        <v>1</v>
      </c>
    </row>
    <row r="115" ht="15.75" customHeight="1">
      <c r="A115" s="5">
        <v>44950.0</v>
      </c>
      <c r="B115" s="6" t="s">
        <v>48</v>
      </c>
      <c r="C115" s="5">
        <v>44949.0</v>
      </c>
      <c r="D115" s="7">
        <v>422.15</v>
      </c>
      <c r="E115" s="7">
        <v>452.1</v>
      </c>
      <c r="F115" s="8">
        <v>437.6425</v>
      </c>
      <c r="G115" s="8">
        <v>436.268</v>
      </c>
      <c r="H115" s="8">
        <v>434.171666666666</v>
      </c>
      <c r="I115" s="8">
        <v>431.407142857142</v>
      </c>
      <c r="J115" s="8">
        <v>428.94375</v>
      </c>
      <c r="K115" s="9">
        <f t="shared" si="148"/>
        <v>-0.03197854457</v>
      </c>
      <c r="L115" s="9">
        <f t="shared" si="149"/>
        <v>-0.03501880115</v>
      </c>
      <c r="M115" s="9">
        <f t="shared" si="150"/>
        <v>-0.0396556809</v>
      </c>
      <c r="N115" s="9">
        <f t="shared" si="151"/>
        <v>-0.04577053117</v>
      </c>
      <c r="O115" s="9">
        <f t="shared" si="152"/>
        <v>-0.05121930989</v>
      </c>
      <c r="P115" s="10" t="b">
        <f t="shared" ref="P115:T115" si="156">F115&gt;$E115</f>
        <v>0</v>
      </c>
      <c r="Q115" s="10" t="b">
        <f t="shared" si="156"/>
        <v>0</v>
      </c>
      <c r="R115" s="10" t="b">
        <f t="shared" si="156"/>
        <v>0</v>
      </c>
      <c r="S115" s="10" t="b">
        <f t="shared" si="156"/>
        <v>0</v>
      </c>
      <c r="T115" s="10" t="b">
        <f t="shared" si="156"/>
        <v>0</v>
      </c>
    </row>
    <row r="116" ht="15.75" customHeight="1">
      <c r="A116" s="5">
        <v>45022.0</v>
      </c>
      <c r="B116" s="6" t="s">
        <v>48</v>
      </c>
      <c r="C116" s="5">
        <v>45019.0</v>
      </c>
      <c r="D116" s="7">
        <v>437.65</v>
      </c>
      <c r="E116" s="7">
        <v>469.5</v>
      </c>
      <c r="F116" s="8">
        <v>487.497499999999</v>
      </c>
      <c r="G116" s="8">
        <v>493.7</v>
      </c>
      <c r="H116" s="8">
        <v>498.198333333333</v>
      </c>
      <c r="I116" s="8">
        <v>503.097142857142</v>
      </c>
      <c r="J116" s="8">
        <v>510.45625</v>
      </c>
      <c r="K116" s="9">
        <f t="shared" si="148"/>
        <v>0.03833333333</v>
      </c>
      <c r="L116" s="9">
        <f t="shared" si="149"/>
        <v>0.05154419595</v>
      </c>
      <c r="M116" s="9">
        <f t="shared" si="150"/>
        <v>0.06112531061</v>
      </c>
      <c r="N116" s="9">
        <f t="shared" si="151"/>
        <v>0.07155940971</v>
      </c>
      <c r="O116" s="9">
        <f t="shared" si="152"/>
        <v>0.08723375932</v>
      </c>
      <c r="P116" s="10" t="b">
        <f t="shared" ref="P116:T116" si="157">F116&gt;$E116</f>
        <v>1</v>
      </c>
      <c r="Q116" s="10" t="b">
        <f t="shared" si="157"/>
        <v>1</v>
      </c>
      <c r="R116" s="10" t="b">
        <f t="shared" si="157"/>
        <v>1</v>
      </c>
      <c r="S116" s="10" t="b">
        <f t="shared" si="157"/>
        <v>1</v>
      </c>
      <c r="T116" s="10" t="b">
        <f t="shared" si="157"/>
        <v>1</v>
      </c>
    </row>
    <row r="117" ht="15.75" customHeight="1">
      <c r="A117" s="5">
        <v>45054.0</v>
      </c>
      <c r="B117" s="6" t="s">
        <v>48</v>
      </c>
      <c r="C117" s="5">
        <v>45054.0</v>
      </c>
      <c r="D117" s="7">
        <v>500.5</v>
      </c>
      <c r="E117" s="7">
        <v>515.95</v>
      </c>
      <c r="F117" s="8">
        <v>531.75</v>
      </c>
      <c r="G117" s="8">
        <v>538.795999999999</v>
      </c>
      <c r="H117" s="8">
        <v>544.319999999999</v>
      </c>
      <c r="I117" s="8">
        <v>549.428571428571</v>
      </c>
      <c r="J117" s="8">
        <v>556.183749999999</v>
      </c>
      <c r="K117" s="9">
        <f t="shared" si="148"/>
        <v>0.0306231224</v>
      </c>
      <c r="L117" s="9">
        <f t="shared" si="149"/>
        <v>0.04427948445</v>
      </c>
      <c r="M117" s="9">
        <f t="shared" si="150"/>
        <v>0.05498594825</v>
      </c>
      <c r="N117" s="9">
        <f t="shared" si="151"/>
        <v>0.0648872399</v>
      </c>
      <c r="O117" s="9">
        <f t="shared" si="152"/>
        <v>0.07797993992</v>
      </c>
      <c r="P117" s="10" t="b">
        <f t="shared" ref="P117:T117" si="158">F117&gt;$E117</f>
        <v>1</v>
      </c>
      <c r="Q117" s="10" t="b">
        <f t="shared" si="158"/>
        <v>1</v>
      </c>
      <c r="R117" s="10" t="b">
        <f t="shared" si="158"/>
        <v>1</v>
      </c>
      <c r="S117" s="10" t="b">
        <f t="shared" si="158"/>
        <v>1</v>
      </c>
      <c r="T117" s="10" t="b">
        <f t="shared" si="158"/>
        <v>1</v>
      </c>
    </row>
    <row r="118" ht="15.75" customHeight="1">
      <c r="A118" s="5">
        <v>45078.0</v>
      </c>
      <c r="B118" s="6" t="s">
        <v>48</v>
      </c>
      <c r="C118" s="5">
        <v>45075.0</v>
      </c>
      <c r="D118" s="7">
        <v>535.2</v>
      </c>
      <c r="E118" s="7">
        <v>567.95</v>
      </c>
      <c r="F118" s="8">
        <v>574.875</v>
      </c>
      <c r="G118" s="8">
        <v>584.198</v>
      </c>
      <c r="H118" s="8">
        <v>590.09</v>
      </c>
      <c r="I118" s="8">
        <v>596.627142857142</v>
      </c>
      <c r="J118" s="8">
        <v>601.17</v>
      </c>
      <c r="K118" s="9">
        <f t="shared" si="148"/>
        <v>0.01219297473</v>
      </c>
      <c r="L118" s="9">
        <f t="shared" si="149"/>
        <v>0.02860815213</v>
      </c>
      <c r="M118" s="9">
        <f t="shared" si="150"/>
        <v>0.03898230478</v>
      </c>
      <c r="N118" s="9">
        <f t="shared" si="151"/>
        <v>0.05049237232</v>
      </c>
      <c r="O118" s="9">
        <f t="shared" si="152"/>
        <v>0.05849106435</v>
      </c>
      <c r="P118" s="10" t="b">
        <f t="shared" ref="P118:T118" si="159">F118&gt;$E118</f>
        <v>1</v>
      </c>
      <c r="Q118" s="10" t="b">
        <f t="shared" si="159"/>
        <v>1</v>
      </c>
      <c r="R118" s="10" t="b">
        <f t="shared" si="159"/>
        <v>1</v>
      </c>
      <c r="S118" s="10" t="b">
        <f t="shared" si="159"/>
        <v>1</v>
      </c>
      <c r="T118" s="10" t="b">
        <f t="shared" si="159"/>
        <v>1</v>
      </c>
    </row>
    <row r="119" ht="15.75" customHeight="1">
      <c r="A119" s="5">
        <v>45107.0</v>
      </c>
      <c r="B119" s="6" t="s">
        <v>48</v>
      </c>
      <c r="C119" s="5">
        <v>45103.0</v>
      </c>
      <c r="D119" s="7">
        <v>595.55</v>
      </c>
      <c r="E119" s="7">
        <v>600.8</v>
      </c>
      <c r="F119" s="8">
        <v>627.464999999999</v>
      </c>
      <c r="G119" s="8">
        <v>624.876</v>
      </c>
      <c r="H119" s="8">
        <v>622.978333333333</v>
      </c>
      <c r="I119" s="8">
        <v>621.714285714285</v>
      </c>
      <c r="J119" s="8">
        <v>619.9</v>
      </c>
      <c r="K119" s="9">
        <f t="shared" si="148"/>
        <v>0.04438249001</v>
      </c>
      <c r="L119" s="9">
        <f t="shared" si="149"/>
        <v>0.04007323569</v>
      </c>
      <c r="M119" s="9">
        <f t="shared" si="150"/>
        <v>0.03691466933</v>
      </c>
      <c r="N119" s="9">
        <f t="shared" si="151"/>
        <v>0.03481072855</v>
      </c>
      <c r="O119" s="9">
        <f t="shared" si="152"/>
        <v>0.03179094541</v>
      </c>
      <c r="P119" s="10" t="b">
        <f t="shared" ref="P119:T119" si="160">F119&gt;$E119</f>
        <v>1</v>
      </c>
      <c r="Q119" s="10" t="b">
        <f t="shared" si="160"/>
        <v>1</v>
      </c>
      <c r="R119" s="10" t="b">
        <f t="shared" si="160"/>
        <v>1</v>
      </c>
      <c r="S119" s="10" t="b">
        <f t="shared" si="160"/>
        <v>1</v>
      </c>
      <c r="T119" s="10" t="b">
        <f t="shared" si="160"/>
        <v>1</v>
      </c>
    </row>
    <row r="120" ht="15.75" customHeight="1">
      <c r="A120" s="5">
        <v>44942.0</v>
      </c>
      <c r="B120" s="6" t="s">
        <v>49</v>
      </c>
      <c r="C120" s="5">
        <v>44942.0</v>
      </c>
      <c r="D120" s="7">
        <v>2089.8</v>
      </c>
      <c r="E120" s="7">
        <v>1975.6</v>
      </c>
      <c r="F120" s="8">
        <v>1028.22</v>
      </c>
      <c r="G120" s="8">
        <v>925.266</v>
      </c>
      <c r="H120" s="8">
        <v>860.435</v>
      </c>
      <c r="I120" s="8">
        <v>833.945714285714</v>
      </c>
      <c r="J120" s="8">
        <v>831.54625</v>
      </c>
      <c r="K120" s="9">
        <f t="shared" si="148"/>
        <v>-0.4795403928</v>
      </c>
      <c r="L120" s="9">
        <f t="shared" si="149"/>
        <v>-0.5316531687</v>
      </c>
      <c r="M120" s="9">
        <f t="shared" si="150"/>
        <v>-0.5644690221</v>
      </c>
      <c r="N120" s="9">
        <f t="shared" si="151"/>
        <v>-0.5778772452</v>
      </c>
      <c r="O120" s="9">
        <f t="shared" si="152"/>
        <v>-0.5790917949</v>
      </c>
      <c r="P120" s="10" t="b">
        <f t="shared" ref="P120:T120" si="161">F120&gt;$E120</f>
        <v>0</v>
      </c>
      <c r="Q120" s="10" t="b">
        <f t="shared" si="161"/>
        <v>0</v>
      </c>
      <c r="R120" s="10" t="b">
        <f t="shared" si="161"/>
        <v>0</v>
      </c>
      <c r="S120" s="10" t="b">
        <f t="shared" si="161"/>
        <v>0</v>
      </c>
      <c r="T120" s="10" t="b">
        <f t="shared" si="161"/>
        <v>0</v>
      </c>
    </row>
    <row r="121" ht="15.75" customHeight="1">
      <c r="A121" s="5">
        <v>45000.0</v>
      </c>
      <c r="B121" s="6" t="s">
        <v>49</v>
      </c>
      <c r="C121" s="5">
        <v>44998.0</v>
      </c>
      <c r="D121" s="7">
        <v>740.4</v>
      </c>
      <c r="E121" s="7">
        <v>891.05</v>
      </c>
      <c r="F121" s="8">
        <v>923.297499999999</v>
      </c>
      <c r="G121" s="8">
        <v>926.575999999999</v>
      </c>
      <c r="H121" s="8">
        <v>927.099999999999</v>
      </c>
      <c r="I121" s="8">
        <v>921.924285714285</v>
      </c>
      <c r="J121" s="8">
        <v>920.77</v>
      </c>
      <c r="K121" s="9">
        <f t="shared" si="148"/>
        <v>0.03619044947</v>
      </c>
      <c r="L121" s="9">
        <f t="shared" si="149"/>
        <v>0.03986981651</v>
      </c>
      <c r="M121" s="9">
        <f t="shared" si="150"/>
        <v>0.04045788676</v>
      </c>
      <c r="N121" s="9">
        <f t="shared" si="151"/>
        <v>0.03464933024</v>
      </c>
      <c r="O121" s="9">
        <f t="shared" si="152"/>
        <v>0.03335390831</v>
      </c>
      <c r="P121" s="10" t="b">
        <f t="shared" ref="P121:T121" si="162">F121&gt;$E121</f>
        <v>1</v>
      </c>
      <c r="Q121" s="10" t="b">
        <f t="shared" si="162"/>
        <v>1</v>
      </c>
      <c r="R121" s="10" t="b">
        <f t="shared" si="162"/>
        <v>1</v>
      </c>
      <c r="S121" s="10" t="b">
        <f t="shared" si="162"/>
        <v>1</v>
      </c>
      <c r="T121" s="10" t="b">
        <f t="shared" si="162"/>
        <v>1</v>
      </c>
    </row>
    <row r="122" ht="15.75" customHeight="1">
      <c r="A122" s="5">
        <v>45006.0</v>
      </c>
      <c r="B122" s="6" t="s">
        <v>49</v>
      </c>
      <c r="C122" s="5">
        <v>45005.0</v>
      </c>
      <c r="D122" s="7">
        <v>891.05</v>
      </c>
      <c r="E122" s="7">
        <v>984.9</v>
      </c>
      <c r="F122" s="8">
        <v>912.8775</v>
      </c>
      <c r="G122" s="8">
        <v>919.106</v>
      </c>
      <c r="H122" s="8">
        <v>915.366666666666</v>
      </c>
      <c r="I122" s="8">
        <v>911.708571428571</v>
      </c>
      <c r="J122" s="8">
        <v>919.8675</v>
      </c>
      <c r="K122" s="9">
        <f t="shared" si="148"/>
        <v>-0.07312671337</v>
      </c>
      <c r="L122" s="9">
        <f t="shared" si="149"/>
        <v>-0.06680272109</v>
      </c>
      <c r="M122" s="9">
        <f t="shared" si="150"/>
        <v>-0.07059938403</v>
      </c>
      <c r="N122" s="9">
        <f t="shared" si="151"/>
        <v>-0.07431356338</v>
      </c>
      <c r="O122" s="9">
        <f t="shared" si="152"/>
        <v>-0.06602954615</v>
      </c>
      <c r="P122" s="10" t="b">
        <f t="shared" ref="P122:T122" si="163">F122&gt;$E122</f>
        <v>0</v>
      </c>
      <c r="Q122" s="10" t="b">
        <f t="shared" si="163"/>
        <v>0</v>
      </c>
      <c r="R122" s="10" t="b">
        <f t="shared" si="163"/>
        <v>0</v>
      </c>
      <c r="S122" s="10" t="b">
        <f t="shared" si="163"/>
        <v>0</v>
      </c>
      <c r="T122" s="10" t="b">
        <f t="shared" si="163"/>
        <v>0</v>
      </c>
    </row>
    <row r="123" ht="15.75" customHeight="1">
      <c r="A123" s="5">
        <v>45026.0</v>
      </c>
      <c r="B123" s="6" t="s">
        <v>49</v>
      </c>
      <c r="C123" s="5">
        <v>45026.0</v>
      </c>
      <c r="D123" s="7">
        <v>899.15</v>
      </c>
      <c r="E123" s="7">
        <v>962.55</v>
      </c>
      <c r="F123" s="8">
        <v>921.29</v>
      </c>
      <c r="G123" s="8">
        <v>919.57</v>
      </c>
      <c r="H123" s="8">
        <v>928.406666666666</v>
      </c>
      <c r="I123" s="8">
        <v>936.774285714285</v>
      </c>
      <c r="J123" s="8">
        <v>940.7175</v>
      </c>
      <c r="K123" s="9">
        <f t="shared" si="148"/>
        <v>-0.0428653057</v>
      </c>
      <c r="L123" s="9">
        <f t="shared" si="149"/>
        <v>-0.04465222586</v>
      </c>
      <c r="M123" s="9">
        <f t="shared" si="150"/>
        <v>-0.03547175039</v>
      </c>
      <c r="N123" s="9">
        <f t="shared" si="151"/>
        <v>-0.0267785718</v>
      </c>
      <c r="O123" s="9">
        <f t="shared" si="152"/>
        <v>-0.0226819386</v>
      </c>
      <c r="P123" s="10" t="b">
        <f t="shared" ref="P123:T123" si="164">F123&gt;$E123</f>
        <v>0</v>
      </c>
      <c r="Q123" s="10" t="b">
        <f t="shared" si="164"/>
        <v>0</v>
      </c>
      <c r="R123" s="10" t="b">
        <f t="shared" si="164"/>
        <v>0</v>
      </c>
      <c r="S123" s="10" t="b">
        <f t="shared" si="164"/>
        <v>0</v>
      </c>
      <c r="T123" s="10" t="b">
        <f t="shared" si="164"/>
        <v>0</v>
      </c>
    </row>
    <row r="124" ht="15.75" customHeight="1">
      <c r="A124" s="5">
        <v>45068.0</v>
      </c>
      <c r="B124" s="6" t="s">
        <v>49</v>
      </c>
      <c r="C124" s="5">
        <v>45068.0</v>
      </c>
      <c r="D124" s="7">
        <v>941.75</v>
      </c>
      <c r="E124" s="7">
        <v>963.35</v>
      </c>
      <c r="F124" s="8">
        <v>972.5125</v>
      </c>
      <c r="G124" s="8">
        <v>969.062</v>
      </c>
      <c r="H124" s="8">
        <v>966.446666666666</v>
      </c>
      <c r="I124" s="8">
        <v>965.447142857142</v>
      </c>
      <c r="J124" s="8">
        <v>967.84375</v>
      </c>
      <c r="K124" s="9">
        <f t="shared" si="148"/>
        <v>0.009511081123</v>
      </c>
      <c r="L124" s="9">
        <f t="shared" si="149"/>
        <v>0.005929309182</v>
      </c>
      <c r="M124" s="9">
        <f t="shared" si="150"/>
        <v>0.003214477258</v>
      </c>
      <c r="N124" s="9">
        <f t="shared" si="151"/>
        <v>0.002176927241</v>
      </c>
      <c r="O124" s="9">
        <f t="shared" si="152"/>
        <v>0.004664711683</v>
      </c>
      <c r="P124" s="10" t="b">
        <f t="shared" ref="P124:T124" si="165">F124&gt;$E124</f>
        <v>1</v>
      </c>
      <c r="Q124" s="10" t="b">
        <f t="shared" si="165"/>
        <v>1</v>
      </c>
      <c r="R124" s="10" t="b">
        <f t="shared" si="165"/>
        <v>1</v>
      </c>
      <c r="S124" s="10" t="b">
        <f t="shared" si="165"/>
        <v>1</v>
      </c>
      <c r="T124" s="10" t="b">
        <f t="shared" si="165"/>
        <v>1</v>
      </c>
    </row>
    <row r="125" ht="15.75" customHeight="1">
      <c r="A125" s="5">
        <v>45127.0</v>
      </c>
      <c r="B125" s="6" t="s">
        <v>49</v>
      </c>
      <c r="C125" s="5">
        <v>45124.0</v>
      </c>
      <c r="D125" s="7">
        <v>985.0</v>
      </c>
      <c r="E125" s="7">
        <v>1140.4</v>
      </c>
      <c r="F125" s="8">
        <v>1008.91</v>
      </c>
      <c r="G125" s="8">
        <v>1000.456</v>
      </c>
      <c r="H125" s="11"/>
      <c r="I125" s="11"/>
      <c r="J125" s="11"/>
      <c r="K125" s="9">
        <f t="shared" si="148"/>
        <v>-0.1153016485</v>
      </c>
      <c r="L125" s="9">
        <f t="shared" si="149"/>
        <v>-0.1227148369</v>
      </c>
      <c r="M125" s="9"/>
      <c r="N125" s="9"/>
      <c r="O125" s="9"/>
      <c r="P125" s="10" t="b">
        <f t="shared" ref="P125:Q125" si="166">F125&gt;$E125</f>
        <v>0</v>
      </c>
      <c r="Q125" s="10" t="b">
        <f t="shared" si="166"/>
        <v>0</v>
      </c>
      <c r="R125" s="10"/>
      <c r="S125" s="10"/>
      <c r="T125" s="10"/>
    </row>
    <row r="126" ht="15.75" customHeight="1">
      <c r="A126" s="5">
        <v>45132.0</v>
      </c>
      <c r="B126" s="6" t="s">
        <v>49</v>
      </c>
      <c r="C126" s="5">
        <v>45131.0</v>
      </c>
      <c r="D126" s="7">
        <v>1088.05</v>
      </c>
      <c r="E126" s="7">
        <v>1093.3</v>
      </c>
      <c r="F126" s="8">
        <v>990.357499999999</v>
      </c>
      <c r="G126" s="8">
        <v>986.65</v>
      </c>
      <c r="H126" s="11"/>
      <c r="I126" s="11"/>
      <c r="J126" s="11"/>
      <c r="K126" s="9">
        <f t="shared" si="148"/>
        <v>-0.09415759627</v>
      </c>
      <c r="L126" s="9">
        <f t="shared" si="149"/>
        <v>-0.09754870575</v>
      </c>
      <c r="M126" s="9"/>
      <c r="N126" s="9"/>
      <c r="O126" s="9"/>
      <c r="P126" s="10" t="b">
        <f t="shared" ref="P126:Q126" si="167">F126&gt;$E126</f>
        <v>0</v>
      </c>
      <c r="Q126" s="10" t="b">
        <f t="shared" si="167"/>
        <v>0</v>
      </c>
      <c r="R126" s="10"/>
      <c r="S126" s="10"/>
      <c r="T126" s="10"/>
    </row>
    <row r="127" ht="15.75" customHeight="1">
      <c r="A127" s="5">
        <v>45028.0</v>
      </c>
      <c r="B127" s="6" t="s">
        <v>50</v>
      </c>
      <c r="C127" s="5">
        <v>45026.0</v>
      </c>
      <c r="D127" s="7">
        <v>657.75</v>
      </c>
      <c r="E127" s="7">
        <v>658.4</v>
      </c>
      <c r="F127" s="8">
        <v>679.85</v>
      </c>
      <c r="G127" s="8">
        <v>687.664</v>
      </c>
      <c r="H127" s="8">
        <v>695.363333333333</v>
      </c>
      <c r="I127" s="8">
        <v>701.767142857143</v>
      </c>
      <c r="J127" s="8">
        <v>706.39</v>
      </c>
      <c r="K127" s="9">
        <f t="shared" si="148"/>
        <v>0.03257897934</v>
      </c>
      <c r="L127" s="9">
        <f t="shared" si="149"/>
        <v>0.04444714459</v>
      </c>
      <c r="M127" s="9">
        <f t="shared" ref="M127:M128" si="169">((H127-E127)/E127)</f>
        <v>0.05614115026</v>
      </c>
      <c r="N127" s="9">
        <f t="shared" ref="N127:N128" si="170">((I127-E127)/E127)</f>
        <v>0.06586747093</v>
      </c>
      <c r="O127" s="9">
        <f t="shared" ref="O127:O128" si="171">((J127-E127)/E127)</f>
        <v>0.07288882139</v>
      </c>
      <c r="P127" s="10" t="b">
        <f t="shared" ref="P127:T127" si="168">F127&gt;$E127</f>
        <v>1</v>
      </c>
      <c r="Q127" s="10" t="b">
        <f t="shared" si="168"/>
        <v>1</v>
      </c>
      <c r="R127" s="10" t="b">
        <f t="shared" si="168"/>
        <v>1</v>
      </c>
      <c r="S127" s="10" t="b">
        <f t="shared" si="168"/>
        <v>1</v>
      </c>
      <c r="T127" s="10" t="b">
        <f t="shared" si="168"/>
        <v>1</v>
      </c>
    </row>
    <row r="128" ht="15.75" customHeight="1">
      <c r="A128" s="5">
        <v>45068.0</v>
      </c>
      <c r="B128" s="6" t="s">
        <v>50</v>
      </c>
      <c r="C128" s="5">
        <v>45068.0</v>
      </c>
      <c r="D128" s="7">
        <v>729.7</v>
      </c>
      <c r="E128" s="7">
        <v>726.85</v>
      </c>
      <c r="F128" s="8">
        <v>738.3675</v>
      </c>
      <c r="G128" s="8">
        <v>736.355999999999</v>
      </c>
      <c r="H128" s="8">
        <v>735.74</v>
      </c>
      <c r="I128" s="8">
        <v>734.304285714285</v>
      </c>
      <c r="J128" s="8">
        <v>733.91</v>
      </c>
      <c r="K128" s="9">
        <f t="shared" si="148"/>
        <v>0.01584577286</v>
      </c>
      <c r="L128" s="9">
        <f t="shared" si="149"/>
        <v>0.01307835179</v>
      </c>
      <c r="M128" s="9">
        <f t="shared" si="169"/>
        <v>0.01223085919</v>
      </c>
      <c r="N128" s="9">
        <f t="shared" si="170"/>
        <v>0.01025560393</v>
      </c>
      <c r="O128" s="9">
        <f t="shared" si="171"/>
        <v>0.009713145766</v>
      </c>
      <c r="P128" s="10" t="b">
        <f t="shared" ref="P128:T128" si="172">F128&gt;$E128</f>
        <v>1</v>
      </c>
      <c r="Q128" s="10" t="b">
        <f t="shared" si="172"/>
        <v>1</v>
      </c>
      <c r="R128" s="10" t="b">
        <f t="shared" si="172"/>
        <v>1</v>
      </c>
      <c r="S128" s="10" t="b">
        <f t="shared" si="172"/>
        <v>1</v>
      </c>
      <c r="T128" s="10" t="b">
        <f t="shared" si="172"/>
        <v>1</v>
      </c>
    </row>
    <row r="129" ht="15.75" customHeight="1">
      <c r="A129" s="5">
        <v>45132.0</v>
      </c>
      <c r="B129" s="6" t="s">
        <v>50</v>
      </c>
      <c r="C129" s="5">
        <v>45131.0</v>
      </c>
      <c r="D129" s="7">
        <v>749.25</v>
      </c>
      <c r="E129" s="7">
        <v>777.85</v>
      </c>
      <c r="F129" s="8">
        <v>802.652499999999</v>
      </c>
      <c r="G129" s="8">
        <v>802.906818181818</v>
      </c>
      <c r="H129" s="11"/>
      <c r="I129" s="11"/>
      <c r="J129" s="11"/>
      <c r="K129" s="9">
        <f t="shared" si="148"/>
        <v>0.03188596773</v>
      </c>
      <c r="L129" s="9">
        <f t="shared" si="149"/>
        <v>0.03221291789</v>
      </c>
      <c r="M129" s="9"/>
      <c r="N129" s="9"/>
      <c r="O129" s="9"/>
      <c r="P129" s="10" t="b">
        <f t="shared" ref="P129:Q129" si="173">F129&gt;$E129</f>
        <v>1</v>
      </c>
      <c r="Q129" s="10" t="b">
        <f t="shared" si="173"/>
        <v>1</v>
      </c>
      <c r="R129" s="10"/>
      <c r="S129" s="10"/>
      <c r="T129" s="10"/>
    </row>
    <row r="130" ht="15.75" customHeight="1">
      <c r="A130" s="5">
        <v>44945.0</v>
      </c>
      <c r="B130" s="6" t="s">
        <v>51</v>
      </c>
      <c r="C130" s="5">
        <v>44942.0</v>
      </c>
      <c r="D130" s="7">
        <v>223.95</v>
      </c>
      <c r="E130" s="7">
        <v>226.15</v>
      </c>
      <c r="F130" s="8">
        <v>217.045</v>
      </c>
      <c r="G130" s="8">
        <v>217.275999999999</v>
      </c>
      <c r="H130" s="8">
        <v>218.458333333333</v>
      </c>
      <c r="I130" s="8">
        <v>218.8</v>
      </c>
      <c r="J130" s="8">
        <v>218.19625</v>
      </c>
      <c r="K130" s="9">
        <f t="shared" si="148"/>
        <v>-0.04026088879</v>
      </c>
      <c r="L130" s="9">
        <f t="shared" si="149"/>
        <v>-0.03923944285</v>
      </c>
      <c r="M130" s="9">
        <f t="shared" ref="M130:M137" si="175">((H130-E130)/E130)</f>
        <v>-0.0340113494</v>
      </c>
      <c r="N130" s="9">
        <f t="shared" ref="N130:N137" si="176">((I130-E130)/E130)</f>
        <v>-0.03250055273</v>
      </c>
      <c r="O130" s="9">
        <f t="shared" ref="O130:O135" si="177">((J130-E130)/E130)</f>
        <v>-0.03517024099</v>
      </c>
      <c r="P130" s="10" t="b">
        <f t="shared" ref="P130:T130" si="174">F130&gt;$E130</f>
        <v>0</v>
      </c>
      <c r="Q130" s="10" t="b">
        <f t="shared" si="174"/>
        <v>0</v>
      </c>
      <c r="R130" s="10" t="b">
        <f t="shared" si="174"/>
        <v>0</v>
      </c>
      <c r="S130" s="10" t="b">
        <f t="shared" si="174"/>
        <v>0</v>
      </c>
      <c r="T130" s="10" t="b">
        <f t="shared" si="174"/>
        <v>0</v>
      </c>
    </row>
    <row r="131" ht="15.75" customHeight="1">
      <c r="A131" s="5">
        <v>44987.0</v>
      </c>
      <c r="B131" s="6" t="s">
        <v>51</v>
      </c>
      <c r="C131" s="5">
        <v>44984.0</v>
      </c>
      <c r="D131" s="7">
        <v>222.85</v>
      </c>
      <c r="E131" s="7">
        <v>224.8</v>
      </c>
      <c r="F131" s="8">
        <v>217.619999999999</v>
      </c>
      <c r="G131" s="8">
        <v>219.912</v>
      </c>
      <c r="H131" s="8">
        <v>221.631666666666</v>
      </c>
      <c r="I131" s="8">
        <v>223.55</v>
      </c>
      <c r="J131" s="8">
        <v>225.088749999999</v>
      </c>
      <c r="K131" s="9">
        <f t="shared" si="148"/>
        <v>-0.03193950178</v>
      </c>
      <c r="L131" s="9">
        <f t="shared" si="149"/>
        <v>-0.02174377224</v>
      </c>
      <c r="M131" s="9">
        <f t="shared" si="175"/>
        <v>-0.01409400949</v>
      </c>
      <c r="N131" s="9">
        <f t="shared" si="176"/>
        <v>-0.005560498221</v>
      </c>
      <c r="O131" s="9">
        <f t="shared" si="177"/>
        <v>0.001284475089</v>
      </c>
      <c r="P131" s="10" t="b">
        <f t="shared" ref="P131:T131" si="178">F131&gt;$E131</f>
        <v>0</v>
      </c>
      <c r="Q131" s="10" t="b">
        <f t="shared" si="178"/>
        <v>0</v>
      </c>
      <c r="R131" s="10" t="b">
        <f t="shared" si="178"/>
        <v>0</v>
      </c>
      <c r="S131" s="10" t="b">
        <f t="shared" si="178"/>
        <v>0</v>
      </c>
      <c r="T131" s="10" t="b">
        <f t="shared" si="178"/>
        <v>1</v>
      </c>
    </row>
    <row r="132" ht="15.75" customHeight="1">
      <c r="A132" s="5">
        <v>45019.0</v>
      </c>
      <c r="B132" s="6" t="s">
        <v>51</v>
      </c>
      <c r="C132" s="5">
        <v>45019.0</v>
      </c>
      <c r="D132" s="7">
        <v>220.15</v>
      </c>
      <c r="E132" s="7">
        <v>223.65</v>
      </c>
      <c r="F132" s="8">
        <v>232.5575</v>
      </c>
      <c r="G132" s="8">
        <v>233.842</v>
      </c>
      <c r="H132" s="8">
        <v>234.833333333333</v>
      </c>
      <c r="I132" s="8">
        <v>235.671428571428</v>
      </c>
      <c r="J132" s="8">
        <v>234.8925</v>
      </c>
      <c r="K132" s="9">
        <f t="shared" si="148"/>
        <v>0.03982785603</v>
      </c>
      <c r="L132" s="9">
        <f t="shared" si="149"/>
        <v>0.04557120501</v>
      </c>
      <c r="M132" s="9">
        <f t="shared" si="175"/>
        <v>0.05000372606</v>
      </c>
      <c r="N132" s="9">
        <f t="shared" si="176"/>
        <v>0.0537510779</v>
      </c>
      <c r="O132" s="9">
        <f t="shared" si="177"/>
        <v>0.05026827632</v>
      </c>
      <c r="P132" s="10" t="b">
        <f t="shared" ref="P132:T132" si="179">F132&gt;$E132</f>
        <v>1</v>
      </c>
      <c r="Q132" s="10" t="b">
        <f t="shared" si="179"/>
        <v>1</v>
      </c>
      <c r="R132" s="10" t="b">
        <f t="shared" si="179"/>
        <v>1</v>
      </c>
      <c r="S132" s="10" t="b">
        <f t="shared" si="179"/>
        <v>1</v>
      </c>
      <c r="T132" s="10" t="b">
        <f t="shared" si="179"/>
        <v>1</v>
      </c>
    </row>
    <row r="133" ht="15.75" customHeight="1">
      <c r="A133" s="5">
        <v>45107.0</v>
      </c>
      <c r="B133" s="6" t="s">
        <v>51</v>
      </c>
      <c r="C133" s="5">
        <v>45103.0</v>
      </c>
      <c r="D133" s="7">
        <v>231.0</v>
      </c>
      <c r="E133" s="7">
        <v>234.6</v>
      </c>
      <c r="F133" s="8">
        <v>231.2325</v>
      </c>
      <c r="G133" s="8">
        <v>231.65</v>
      </c>
      <c r="H133" s="8">
        <v>231.761666666666</v>
      </c>
      <c r="I133" s="8">
        <v>231.472857142857</v>
      </c>
      <c r="J133" s="8">
        <v>231.275641025641</v>
      </c>
      <c r="K133" s="9">
        <f t="shared" si="148"/>
        <v>-0.01435421995</v>
      </c>
      <c r="L133" s="9">
        <f t="shared" si="149"/>
        <v>-0.01257459506</v>
      </c>
      <c r="M133" s="9">
        <f t="shared" si="175"/>
        <v>-0.01209860756</v>
      </c>
      <c r="N133" s="9">
        <f t="shared" si="176"/>
        <v>-0.0133296797</v>
      </c>
      <c r="O133" s="9">
        <f t="shared" si="177"/>
        <v>-0.01417032811</v>
      </c>
      <c r="P133" s="10" t="b">
        <f t="shared" ref="P133:T133" si="180">F133&gt;$E133</f>
        <v>0</v>
      </c>
      <c r="Q133" s="10" t="b">
        <f t="shared" si="180"/>
        <v>0</v>
      </c>
      <c r="R133" s="10" t="b">
        <f t="shared" si="180"/>
        <v>0</v>
      </c>
      <c r="S133" s="10" t="b">
        <f t="shared" si="180"/>
        <v>0</v>
      </c>
      <c r="T133" s="10" t="b">
        <f t="shared" si="180"/>
        <v>0</v>
      </c>
    </row>
    <row r="134" ht="15.75" customHeight="1">
      <c r="A134" s="5">
        <v>45027.0</v>
      </c>
      <c r="B134" s="6" t="s">
        <v>52</v>
      </c>
      <c r="C134" s="5">
        <v>45026.0</v>
      </c>
      <c r="D134" s="7">
        <v>107.55</v>
      </c>
      <c r="E134" s="7">
        <v>107.6</v>
      </c>
      <c r="F134" s="8">
        <v>108.135</v>
      </c>
      <c r="G134" s="8">
        <v>107.533999999999</v>
      </c>
      <c r="H134" s="8">
        <v>107.363333333333</v>
      </c>
      <c r="I134" s="8">
        <v>107.564285714285</v>
      </c>
      <c r="J134" s="8">
        <v>107.98125</v>
      </c>
      <c r="K134" s="9">
        <f t="shared" si="148"/>
        <v>0.004972118959</v>
      </c>
      <c r="L134" s="9">
        <f t="shared" si="149"/>
        <v>-0.0006133828996</v>
      </c>
      <c r="M134" s="9">
        <f t="shared" si="175"/>
        <v>-0.002199504337</v>
      </c>
      <c r="N134" s="9">
        <f t="shared" si="176"/>
        <v>-0.0003319171535</v>
      </c>
      <c r="O134" s="9">
        <f t="shared" si="177"/>
        <v>0.003543215613</v>
      </c>
      <c r="P134" s="10" t="b">
        <f t="shared" ref="P134:T134" si="181">F134&gt;$E134</f>
        <v>1</v>
      </c>
      <c r="Q134" s="10" t="b">
        <f t="shared" si="181"/>
        <v>0</v>
      </c>
      <c r="R134" s="10" t="b">
        <f t="shared" si="181"/>
        <v>0</v>
      </c>
      <c r="S134" s="10" t="b">
        <f t="shared" si="181"/>
        <v>0</v>
      </c>
      <c r="T134" s="10" t="b">
        <f t="shared" si="181"/>
        <v>1</v>
      </c>
    </row>
    <row r="135" ht="15.75" customHeight="1">
      <c r="A135" s="5">
        <v>45091.0</v>
      </c>
      <c r="B135" s="6" t="s">
        <v>52</v>
      </c>
      <c r="C135" s="5">
        <v>45089.0</v>
      </c>
      <c r="D135" s="7">
        <v>113.8</v>
      </c>
      <c r="E135" s="7">
        <v>114.25</v>
      </c>
      <c r="F135" s="8">
        <v>113.4425</v>
      </c>
      <c r="G135" s="8">
        <v>114.284</v>
      </c>
      <c r="H135" s="8">
        <v>115.426666666666</v>
      </c>
      <c r="I135" s="8">
        <v>115.92</v>
      </c>
      <c r="J135" s="8">
        <v>116.19125</v>
      </c>
      <c r="K135" s="9">
        <f t="shared" si="148"/>
        <v>-0.007067833698</v>
      </c>
      <c r="L135" s="9">
        <f t="shared" si="149"/>
        <v>0.0002975929978</v>
      </c>
      <c r="M135" s="9">
        <f t="shared" si="175"/>
        <v>0.01029905179</v>
      </c>
      <c r="N135" s="9">
        <f t="shared" si="176"/>
        <v>0.01461706783</v>
      </c>
      <c r="O135" s="9">
        <f t="shared" si="177"/>
        <v>0.01699124726</v>
      </c>
      <c r="P135" s="10" t="b">
        <f t="shared" ref="P135:T135" si="182">F135&gt;$E135</f>
        <v>0</v>
      </c>
      <c r="Q135" s="10" t="b">
        <f t="shared" si="182"/>
        <v>1</v>
      </c>
      <c r="R135" s="10" t="b">
        <f t="shared" si="182"/>
        <v>1</v>
      </c>
      <c r="S135" s="10" t="b">
        <f t="shared" si="182"/>
        <v>1</v>
      </c>
      <c r="T135" s="10" t="b">
        <f t="shared" si="182"/>
        <v>1</v>
      </c>
    </row>
    <row r="136" ht="15.75" customHeight="1">
      <c r="A136" s="5">
        <v>45117.0</v>
      </c>
      <c r="B136" s="6" t="s">
        <v>52</v>
      </c>
      <c r="C136" s="5">
        <v>45117.0</v>
      </c>
      <c r="D136" s="7">
        <v>115.3</v>
      </c>
      <c r="E136" s="7">
        <v>117.15</v>
      </c>
      <c r="F136" s="8">
        <v>118.984999999999</v>
      </c>
      <c r="G136" s="8">
        <v>118.502</v>
      </c>
      <c r="H136" s="8">
        <v>118.393333333333</v>
      </c>
      <c r="I136" s="8">
        <v>118.677272727272</v>
      </c>
      <c r="J136" s="11"/>
      <c r="K136" s="9">
        <f t="shared" si="148"/>
        <v>0.01566367904</v>
      </c>
      <c r="L136" s="9">
        <f t="shared" si="149"/>
        <v>0.01154075971</v>
      </c>
      <c r="M136" s="9">
        <f t="shared" si="175"/>
        <v>0.01061317399</v>
      </c>
      <c r="N136" s="9">
        <f t="shared" si="176"/>
        <v>0.01303689908</v>
      </c>
      <c r="O136" s="9"/>
      <c r="P136" s="10" t="b">
        <f t="shared" ref="P136:S136" si="183">F136&gt;$E136</f>
        <v>1</v>
      </c>
      <c r="Q136" s="10" t="b">
        <f t="shared" si="183"/>
        <v>1</v>
      </c>
      <c r="R136" s="10" t="b">
        <f t="shared" si="183"/>
        <v>1</v>
      </c>
      <c r="S136" s="10" t="b">
        <f t="shared" si="183"/>
        <v>1</v>
      </c>
      <c r="T136" s="10"/>
    </row>
    <row r="137" ht="15.75" customHeight="1">
      <c r="A137" s="5">
        <v>44938.0</v>
      </c>
      <c r="B137" s="6" t="s">
        <v>53</v>
      </c>
      <c r="C137" s="5">
        <v>44935.0</v>
      </c>
      <c r="D137" s="7">
        <v>345.1</v>
      </c>
      <c r="E137" s="7">
        <v>361.35</v>
      </c>
      <c r="F137" s="8">
        <v>338.8775</v>
      </c>
      <c r="G137" s="8">
        <v>335.042</v>
      </c>
      <c r="H137" s="8">
        <v>331.088333333333</v>
      </c>
      <c r="I137" s="8">
        <v>328.067142857142</v>
      </c>
      <c r="J137" s="8">
        <v>324.742499999999</v>
      </c>
      <c r="K137" s="9">
        <f t="shared" si="148"/>
        <v>-0.06219039712</v>
      </c>
      <c r="L137" s="9">
        <f t="shared" si="149"/>
        <v>-0.07280475993</v>
      </c>
      <c r="M137" s="9">
        <f t="shared" si="175"/>
        <v>-0.08374613717</v>
      </c>
      <c r="N137" s="9">
        <f t="shared" si="176"/>
        <v>-0.09210697978</v>
      </c>
      <c r="O137" s="9">
        <f>((J137-E137)/E137)</f>
        <v>-0.1013075965</v>
      </c>
      <c r="P137" s="10" t="b">
        <f t="shared" ref="P137:T137" si="184">F137&gt;$E137</f>
        <v>0</v>
      </c>
      <c r="Q137" s="10" t="b">
        <f t="shared" si="184"/>
        <v>0</v>
      </c>
      <c r="R137" s="10" t="b">
        <f t="shared" si="184"/>
        <v>0</v>
      </c>
      <c r="S137" s="10" t="b">
        <f t="shared" si="184"/>
        <v>0</v>
      </c>
      <c r="T137" s="10" t="b">
        <f t="shared" si="184"/>
        <v>0</v>
      </c>
    </row>
    <row r="138" ht="15.75" customHeight="1">
      <c r="A138" s="5">
        <v>45168.0</v>
      </c>
      <c r="B138" s="6" t="s">
        <v>53</v>
      </c>
      <c r="C138" s="5">
        <v>45166.0</v>
      </c>
      <c r="D138" s="7">
        <v>319.95</v>
      </c>
      <c r="E138" s="12"/>
      <c r="F138" s="11"/>
      <c r="G138" s="11"/>
      <c r="H138" s="11"/>
      <c r="I138" s="11"/>
      <c r="J138" s="11"/>
      <c r="K138" s="9"/>
      <c r="L138" s="9"/>
      <c r="M138" s="9"/>
      <c r="N138" s="9"/>
      <c r="O138" s="9"/>
      <c r="P138" s="10"/>
      <c r="Q138" s="10"/>
      <c r="R138" s="10"/>
      <c r="S138" s="10"/>
      <c r="T138" s="10"/>
    </row>
    <row r="139" ht="15.75" customHeight="1">
      <c r="A139" s="5">
        <v>45034.0</v>
      </c>
      <c r="B139" s="6" t="s">
        <v>54</v>
      </c>
      <c r="C139" s="5">
        <v>45033.0</v>
      </c>
      <c r="D139" s="7">
        <v>2432.5</v>
      </c>
      <c r="E139" s="7">
        <v>2421.15</v>
      </c>
      <c r="F139" s="8">
        <v>2493.2525</v>
      </c>
      <c r="G139" s="8">
        <v>2507.13</v>
      </c>
      <c r="H139" s="8">
        <v>2527.75833333333</v>
      </c>
      <c r="I139" s="8">
        <v>2544.69714285714</v>
      </c>
      <c r="J139" s="8">
        <v>2562.1925</v>
      </c>
      <c r="K139" s="9">
        <f t="shared" ref="K139:K145" si="186">((F139-E139)/E139)</f>
        <v>0.02978026971</v>
      </c>
      <c r="L139" s="9">
        <f t="shared" ref="L139:L145" si="187">((G139-E139)/E139)</f>
        <v>0.03551205006</v>
      </c>
      <c r="M139" s="9">
        <f t="shared" ref="M139:M145" si="188">((H139-E139)/E139)</f>
        <v>0.04403210596</v>
      </c>
      <c r="N139" s="9">
        <f t="shared" ref="N139:N145" si="189">((I139-E139)/E139)</f>
        <v>0.05102828939</v>
      </c>
      <c r="O139" s="9">
        <f t="shared" ref="O139:O145" si="190">((J139-E139)/E139)</f>
        <v>0.05825434194</v>
      </c>
      <c r="P139" s="10" t="b">
        <f t="shared" ref="P139:T139" si="185">F139&gt;$E139</f>
        <v>1</v>
      </c>
      <c r="Q139" s="10" t="b">
        <f t="shared" si="185"/>
        <v>1</v>
      </c>
      <c r="R139" s="10" t="b">
        <f t="shared" si="185"/>
        <v>1</v>
      </c>
      <c r="S139" s="10" t="b">
        <f t="shared" si="185"/>
        <v>1</v>
      </c>
      <c r="T139" s="10" t="b">
        <f t="shared" si="185"/>
        <v>1</v>
      </c>
    </row>
    <row r="140" ht="15.75" customHeight="1">
      <c r="A140" s="5">
        <v>45078.0</v>
      </c>
      <c r="B140" s="6" t="s">
        <v>54</v>
      </c>
      <c r="C140" s="5">
        <v>45075.0</v>
      </c>
      <c r="D140" s="7">
        <v>2651.55</v>
      </c>
      <c r="E140" s="7">
        <v>2654.85</v>
      </c>
      <c r="F140" s="8">
        <v>2641.82</v>
      </c>
      <c r="G140" s="8">
        <v>2636.988</v>
      </c>
      <c r="H140" s="8">
        <v>2640.28166666666</v>
      </c>
      <c r="I140" s="8">
        <v>2638.6</v>
      </c>
      <c r="J140" s="8">
        <v>2635.69625</v>
      </c>
      <c r="K140" s="9">
        <f t="shared" si="186"/>
        <v>-0.004907998569</v>
      </c>
      <c r="L140" s="9">
        <f t="shared" si="187"/>
        <v>-0.006728063732</v>
      </c>
      <c r="M140" s="9">
        <f t="shared" si="188"/>
        <v>-0.005487441224</v>
      </c>
      <c r="N140" s="9">
        <f t="shared" si="189"/>
        <v>-0.006120873119</v>
      </c>
      <c r="O140" s="9">
        <f t="shared" si="190"/>
        <v>-0.007214626062</v>
      </c>
      <c r="P140" s="10" t="b">
        <f t="shared" ref="P140:T140" si="191">F140&gt;$E140</f>
        <v>0</v>
      </c>
      <c r="Q140" s="10" t="b">
        <f t="shared" si="191"/>
        <v>0</v>
      </c>
      <c r="R140" s="10" t="b">
        <f t="shared" si="191"/>
        <v>0</v>
      </c>
      <c r="S140" s="10" t="b">
        <f t="shared" si="191"/>
        <v>0</v>
      </c>
      <c r="T140" s="10" t="b">
        <f t="shared" si="191"/>
        <v>0</v>
      </c>
    </row>
    <row r="141" ht="15.75" customHeight="1">
      <c r="A141" s="5">
        <v>45090.0</v>
      </c>
      <c r="B141" s="6" t="s">
        <v>54</v>
      </c>
      <c r="C141" s="5">
        <v>45089.0</v>
      </c>
      <c r="D141" s="7">
        <v>2686.65</v>
      </c>
      <c r="E141" s="7">
        <v>2673.3</v>
      </c>
      <c r="F141" s="8">
        <v>2626.215</v>
      </c>
      <c r="G141" s="8">
        <v>2632.346</v>
      </c>
      <c r="H141" s="8">
        <v>2629.83333333333</v>
      </c>
      <c r="I141" s="8">
        <v>2627.15571428571</v>
      </c>
      <c r="J141" s="8">
        <v>2617.39625</v>
      </c>
      <c r="K141" s="9">
        <f t="shared" si="186"/>
        <v>-0.01761306251</v>
      </c>
      <c r="L141" s="9">
        <f t="shared" si="187"/>
        <v>-0.01531964239</v>
      </c>
      <c r="M141" s="9">
        <f t="shared" si="188"/>
        <v>-0.01625955436</v>
      </c>
      <c r="N141" s="9">
        <f t="shared" si="189"/>
        <v>-0.01726116998</v>
      </c>
      <c r="O141" s="9">
        <f t="shared" si="190"/>
        <v>-0.02091188793</v>
      </c>
      <c r="P141" s="10" t="b">
        <f t="shared" ref="P141:T141" si="192">F141&gt;$E141</f>
        <v>0</v>
      </c>
      <c r="Q141" s="10" t="b">
        <f t="shared" si="192"/>
        <v>0</v>
      </c>
      <c r="R141" s="10" t="b">
        <f t="shared" si="192"/>
        <v>0</v>
      </c>
      <c r="S141" s="10" t="b">
        <f t="shared" si="192"/>
        <v>0</v>
      </c>
      <c r="T141" s="10" t="b">
        <f t="shared" si="192"/>
        <v>0</v>
      </c>
    </row>
    <row r="142" ht="15.75" customHeight="1">
      <c r="A142" s="5">
        <v>44964.0</v>
      </c>
      <c r="B142" s="6" t="s">
        <v>55</v>
      </c>
      <c r="C142" s="5">
        <v>44963.0</v>
      </c>
      <c r="D142" s="7">
        <v>3118.05</v>
      </c>
      <c r="E142" s="7">
        <v>3129.4</v>
      </c>
      <c r="F142" s="8">
        <v>3233.0125</v>
      </c>
      <c r="G142" s="8">
        <v>3244.018</v>
      </c>
      <c r="H142" s="8">
        <v>3254.29</v>
      </c>
      <c r="I142" s="8">
        <v>3267.01285714285</v>
      </c>
      <c r="J142" s="8">
        <v>3276.91124999999</v>
      </c>
      <c r="K142" s="9">
        <f t="shared" si="186"/>
        <v>0.03310938199</v>
      </c>
      <c r="L142" s="9">
        <f t="shared" si="187"/>
        <v>0.03662619032</v>
      </c>
      <c r="M142" s="9">
        <f t="shared" si="188"/>
        <v>0.03990860868</v>
      </c>
      <c r="N142" s="9">
        <f t="shared" si="189"/>
        <v>0.04397419861</v>
      </c>
      <c r="O142" s="9">
        <f t="shared" si="190"/>
        <v>0.04713723078</v>
      </c>
      <c r="P142" s="10" t="b">
        <f t="shared" ref="P142:T142" si="193">F142&gt;$E142</f>
        <v>1</v>
      </c>
      <c r="Q142" s="10" t="b">
        <f t="shared" si="193"/>
        <v>1</v>
      </c>
      <c r="R142" s="10" t="b">
        <f t="shared" si="193"/>
        <v>1</v>
      </c>
      <c r="S142" s="10" t="b">
        <f t="shared" si="193"/>
        <v>1</v>
      </c>
      <c r="T142" s="10" t="b">
        <f t="shared" si="193"/>
        <v>1</v>
      </c>
    </row>
    <row r="143" ht="15.75" customHeight="1">
      <c r="A143" s="5">
        <v>44993.0</v>
      </c>
      <c r="B143" s="6" t="s">
        <v>55</v>
      </c>
      <c r="C143" s="5">
        <v>44991.0</v>
      </c>
      <c r="D143" s="7">
        <v>3287.45</v>
      </c>
      <c r="E143" s="7">
        <v>3252.9</v>
      </c>
      <c r="F143" s="8">
        <v>3320.81</v>
      </c>
      <c r="G143" s="8">
        <v>3311.322</v>
      </c>
      <c r="H143" s="8">
        <v>3331.70666666666</v>
      </c>
      <c r="I143" s="8">
        <v>3373.12142857142</v>
      </c>
      <c r="J143" s="8">
        <v>3429.18</v>
      </c>
      <c r="K143" s="9">
        <f t="shared" si="186"/>
        <v>0.02087675613</v>
      </c>
      <c r="L143" s="9">
        <f t="shared" si="187"/>
        <v>0.01795997418</v>
      </c>
      <c r="M143" s="9">
        <f t="shared" si="188"/>
        <v>0.02422658756</v>
      </c>
      <c r="N143" s="9">
        <f t="shared" si="189"/>
        <v>0.03695823068</v>
      </c>
      <c r="O143" s="9">
        <f t="shared" si="190"/>
        <v>0.05419164438</v>
      </c>
      <c r="P143" s="10" t="b">
        <f t="shared" ref="P143:T143" si="194">F143&gt;$E143</f>
        <v>1</v>
      </c>
      <c r="Q143" s="10" t="b">
        <f t="shared" si="194"/>
        <v>1</v>
      </c>
      <c r="R143" s="10" t="b">
        <f t="shared" si="194"/>
        <v>1</v>
      </c>
      <c r="S143" s="10" t="b">
        <f t="shared" si="194"/>
        <v>1</v>
      </c>
      <c r="T143" s="10" t="b">
        <f t="shared" si="194"/>
        <v>1</v>
      </c>
    </row>
    <row r="144" ht="15.75" customHeight="1">
      <c r="A144" s="5">
        <v>45042.0</v>
      </c>
      <c r="B144" s="6" t="s">
        <v>55</v>
      </c>
      <c r="C144" s="5">
        <v>45040.0</v>
      </c>
      <c r="D144" s="7">
        <v>3447.65</v>
      </c>
      <c r="E144" s="7">
        <v>3540.9</v>
      </c>
      <c r="F144" s="8">
        <v>3649.6625</v>
      </c>
      <c r="G144" s="8">
        <v>3633.694</v>
      </c>
      <c r="H144" s="8">
        <v>3643.87833333333</v>
      </c>
      <c r="I144" s="8">
        <v>3665.72857142857</v>
      </c>
      <c r="J144" s="8">
        <v>3669.42</v>
      </c>
      <c r="K144" s="9">
        <f t="shared" si="186"/>
        <v>0.03071606089</v>
      </c>
      <c r="L144" s="9">
        <f t="shared" si="187"/>
        <v>0.02620633172</v>
      </c>
      <c r="M144" s="9">
        <f t="shared" si="188"/>
        <v>0.02908253081</v>
      </c>
      <c r="N144" s="9">
        <f t="shared" si="189"/>
        <v>0.0352533456</v>
      </c>
      <c r="O144" s="9">
        <f t="shared" si="190"/>
        <v>0.03629585699</v>
      </c>
      <c r="P144" s="10" t="b">
        <f t="shared" ref="P144:T144" si="195">F144&gt;$E144</f>
        <v>1</v>
      </c>
      <c r="Q144" s="10" t="b">
        <f t="shared" si="195"/>
        <v>1</v>
      </c>
      <c r="R144" s="10" t="b">
        <f t="shared" si="195"/>
        <v>1</v>
      </c>
      <c r="S144" s="10" t="b">
        <f t="shared" si="195"/>
        <v>1</v>
      </c>
      <c r="T144" s="10" t="b">
        <f t="shared" si="195"/>
        <v>1</v>
      </c>
    </row>
    <row r="145" ht="15.75" customHeight="1">
      <c r="A145" s="5">
        <v>45084.0</v>
      </c>
      <c r="B145" s="6" t="s">
        <v>55</v>
      </c>
      <c r="C145" s="5">
        <v>45082.0</v>
      </c>
      <c r="D145" s="7">
        <v>3653.9</v>
      </c>
      <c r="E145" s="7">
        <v>3734.4</v>
      </c>
      <c r="F145" s="8">
        <v>3739.74249999999</v>
      </c>
      <c r="G145" s="8">
        <v>3733.084</v>
      </c>
      <c r="H145" s="8">
        <v>3724.24666666666</v>
      </c>
      <c r="I145" s="8">
        <v>3743.71571428571</v>
      </c>
      <c r="J145" s="8">
        <v>3748.66375</v>
      </c>
      <c r="K145" s="9">
        <f t="shared" si="186"/>
        <v>0.001430618038</v>
      </c>
      <c r="L145" s="9">
        <f t="shared" si="187"/>
        <v>-0.0003523993145</v>
      </c>
      <c r="M145" s="9">
        <f t="shared" si="188"/>
        <v>-0.002718866038</v>
      </c>
      <c r="N145" s="9">
        <f t="shared" si="189"/>
        <v>0.002494567879</v>
      </c>
      <c r="O145" s="9">
        <f t="shared" si="190"/>
        <v>0.00381955602</v>
      </c>
      <c r="P145" s="10" t="b">
        <f t="shared" ref="P145:T145" si="196">F145&gt;$E145</f>
        <v>1</v>
      </c>
      <c r="Q145" s="10" t="b">
        <f t="shared" si="196"/>
        <v>0</v>
      </c>
      <c r="R145" s="10" t="b">
        <f t="shared" si="196"/>
        <v>0</v>
      </c>
      <c r="S145" s="10" t="b">
        <f t="shared" si="196"/>
        <v>1</v>
      </c>
      <c r="T145" s="10" t="b">
        <f t="shared" si="196"/>
        <v>1</v>
      </c>
    </row>
    <row r="146" ht="15.75" customHeight="1">
      <c r="A146" s="5">
        <v>45161.0</v>
      </c>
      <c r="B146" s="6" t="s">
        <v>55</v>
      </c>
      <c r="C146" s="5">
        <v>45159.0</v>
      </c>
      <c r="D146" s="7">
        <v>3718.35</v>
      </c>
      <c r="E146" s="7">
        <v>3865.35</v>
      </c>
      <c r="F146" s="11"/>
      <c r="G146" s="11"/>
      <c r="H146" s="11"/>
      <c r="I146" s="11"/>
      <c r="J146" s="11"/>
      <c r="K146" s="9"/>
      <c r="L146" s="9"/>
      <c r="M146" s="9"/>
      <c r="N146" s="9"/>
      <c r="O146" s="9"/>
      <c r="P146" s="10"/>
      <c r="Q146" s="10"/>
      <c r="R146" s="10"/>
      <c r="S146" s="10"/>
      <c r="T146" s="10"/>
    </row>
    <row r="147" ht="15.75" customHeight="1">
      <c r="A147" s="5">
        <v>44938.0</v>
      </c>
      <c r="B147" s="6" t="s">
        <v>56</v>
      </c>
      <c r="C147" s="5">
        <v>44935.0</v>
      </c>
      <c r="D147" s="7">
        <v>1315.7</v>
      </c>
      <c r="E147" s="7">
        <v>1310.65</v>
      </c>
      <c r="F147" s="8">
        <v>1199.9175</v>
      </c>
      <c r="G147" s="8">
        <v>1188.934</v>
      </c>
      <c r="H147" s="8">
        <v>1177.12833333333</v>
      </c>
      <c r="I147" s="8">
        <v>1168.38857142857</v>
      </c>
      <c r="J147" s="8">
        <v>1156.1125</v>
      </c>
      <c r="K147" s="9">
        <f t="shared" ref="K147:K165" si="198">((F147-E147)/E147)</f>
        <v>-0.08448670507</v>
      </c>
      <c r="L147" s="9">
        <f t="shared" ref="L147:L165" si="199">((G147-E147)/E147)</f>
        <v>-0.0928668981</v>
      </c>
      <c r="M147" s="9">
        <f t="shared" ref="M147:M165" si="200">((H147-E147)/E147)</f>
        <v>-0.101874388</v>
      </c>
      <c r="N147" s="9">
        <f t="shared" ref="N147:N164" si="201">((I147-E147)/E147)</f>
        <v>-0.1085426533</v>
      </c>
      <c r="O147" s="9">
        <f t="shared" ref="O147:O164" si="202">((J147-E147)/E147)</f>
        <v>-0.1179090528</v>
      </c>
      <c r="P147" s="10" t="b">
        <f t="shared" ref="P147:T147" si="197">F147&gt;$E147</f>
        <v>0</v>
      </c>
      <c r="Q147" s="10" t="b">
        <f t="shared" si="197"/>
        <v>0</v>
      </c>
      <c r="R147" s="10" t="b">
        <f t="shared" si="197"/>
        <v>0</v>
      </c>
      <c r="S147" s="10" t="b">
        <f t="shared" si="197"/>
        <v>0</v>
      </c>
      <c r="T147" s="10" t="b">
        <f t="shared" si="197"/>
        <v>0</v>
      </c>
    </row>
    <row r="148" ht="15.75" customHeight="1">
      <c r="A148" s="5">
        <v>45084.0</v>
      </c>
      <c r="B148" s="6" t="s">
        <v>56</v>
      </c>
      <c r="C148" s="5">
        <v>45082.0</v>
      </c>
      <c r="D148" s="7">
        <v>1245.8</v>
      </c>
      <c r="E148" s="7">
        <v>1243.3</v>
      </c>
      <c r="F148" s="8">
        <v>1283.77</v>
      </c>
      <c r="G148" s="8">
        <v>1289.966</v>
      </c>
      <c r="H148" s="8">
        <v>1292.15999999999</v>
      </c>
      <c r="I148" s="8">
        <v>1290.72571428571</v>
      </c>
      <c r="J148" s="8">
        <v>1292.4575</v>
      </c>
      <c r="K148" s="9">
        <f t="shared" si="198"/>
        <v>0.03255047052</v>
      </c>
      <c r="L148" s="9">
        <f t="shared" si="199"/>
        <v>0.03753398214</v>
      </c>
      <c r="M148" s="9">
        <f t="shared" si="200"/>
        <v>0.03929864071</v>
      </c>
      <c r="N148" s="9">
        <f t="shared" si="201"/>
        <v>0.03814502878</v>
      </c>
      <c r="O148" s="9">
        <f t="shared" si="202"/>
        <v>0.03953792327</v>
      </c>
      <c r="P148" s="10" t="b">
        <f t="shared" ref="P148:T148" si="203">F148&gt;$E148</f>
        <v>1</v>
      </c>
      <c r="Q148" s="10" t="b">
        <f t="shared" si="203"/>
        <v>1</v>
      </c>
      <c r="R148" s="10" t="b">
        <f t="shared" si="203"/>
        <v>1</v>
      </c>
      <c r="S148" s="10" t="b">
        <f t="shared" si="203"/>
        <v>1</v>
      </c>
      <c r="T148" s="10" t="b">
        <f t="shared" si="203"/>
        <v>1</v>
      </c>
    </row>
    <row r="149" ht="15.75" customHeight="1">
      <c r="A149" s="5">
        <v>45093.0</v>
      </c>
      <c r="B149" s="6" t="s">
        <v>56</v>
      </c>
      <c r="C149" s="5">
        <v>45089.0</v>
      </c>
      <c r="D149" s="7">
        <v>1281.35</v>
      </c>
      <c r="E149" s="7">
        <v>1276.5</v>
      </c>
      <c r="F149" s="8">
        <v>1297.0925</v>
      </c>
      <c r="G149" s="8">
        <v>1297.56</v>
      </c>
      <c r="H149" s="8">
        <v>1292.83333333333</v>
      </c>
      <c r="I149" s="8">
        <v>1298.06</v>
      </c>
      <c r="J149" s="8">
        <v>1296.64875</v>
      </c>
      <c r="K149" s="9">
        <f t="shared" si="198"/>
        <v>0.01613200157</v>
      </c>
      <c r="L149" s="9">
        <f t="shared" si="199"/>
        <v>0.01649823737</v>
      </c>
      <c r="M149" s="9">
        <f t="shared" si="200"/>
        <v>0.0127954041</v>
      </c>
      <c r="N149" s="9">
        <f t="shared" si="201"/>
        <v>0.01688993341</v>
      </c>
      <c r="O149" s="9">
        <f t="shared" si="202"/>
        <v>0.01578437133</v>
      </c>
      <c r="P149" s="10" t="b">
        <f t="shared" ref="P149:T149" si="204">F149&gt;$E149</f>
        <v>1</v>
      </c>
      <c r="Q149" s="10" t="b">
        <f t="shared" si="204"/>
        <v>1</v>
      </c>
      <c r="R149" s="10" t="b">
        <f t="shared" si="204"/>
        <v>1</v>
      </c>
      <c r="S149" s="10" t="b">
        <f t="shared" si="204"/>
        <v>1</v>
      </c>
      <c r="T149" s="10" t="b">
        <f t="shared" si="204"/>
        <v>1</v>
      </c>
    </row>
    <row r="150" ht="15.75" customHeight="1">
      <c r="A150" s="5">
        <v>45043.0</v>
      </c>
      <c r="B150" s="6" t="s">
        <v>57</v>
      </c>
      <c r="C150" s="5">
        <v>45040.0</v>
      </c>
      <c r="D150" s="7">
        <v>80.45</v>
      </c>
      <c r="E150" s="7">
        <v>83.3</v>
      </c>
      <c r="F150" s="8">
        <v>86.9299999999999</v>
      </c>
      <c r="G150" s="8">
        <v>87.518</v>
      </c>
      <c r="H150" s="8">
        <v>88.2683333333333</v>
      </c>
      <c r="I150" s="8">
        <v>88.8</v>
      </c>
      <c r="J150" s="8">
        <v>88.92125</v>
      </c>
      <c r="K150" s="9">
        <f t="shared" si="198"/>
        <v>0.04357743097</v>
      </c>
      <c r="L150" s="9">
        <f t="shared" si="199"/>
        <v>0.0506362545</v>
      </c>
      <c r="M150" s="9">
        <f t="shared" si="200"/>
        <v>0.05964385754</v>
      </c>
      <c r="N150" s="9">
        <f t="shared" si="201"/>
        <v>0.06602641056</v>
      </c>
      <c r="O150" s="9">
        <f t="shared" si="202"/>
        <v>0.0674819928</v>
      </c>
      <c r="P150" s="10" t="b">
        <f t="shared" ref="P150:T150" si="205">F150&gt;$E150</f>
        <v>1</v>
      </c>
      <c r="Q150" s="10" t="b">
        <f t="shared" si="205"/>
        <v>1</v>
      </c>
      <c r="R150" s="10" t="b">
        <f t="shared" si="205"/>
        <v>1</v>
      </c>
      <c r="S150" s="10" t="b">
        <f t="shared" si="205"/>
        <v>1</v>
      </c>
      <c r="T150" s="10" t="b">
        <f t="shared" si="205"/>
        <v>1</v>
      </c>
    </row>
    <row r="151" ht="15.75" customHeight="1">
      <c r="A151" s="5">
        <v>45062.0</v>
      </c>
      <c r="B151" s="6" t="s">
        <v>57</v>
      </c>
      <c r="C151" s="5">
        <v>45061.0</v>
      </c>
      <c r="D151" s="7">
        <v>87.0</v>
      </c>
      <c r="E151" s="7">
        <v>87.15</v>
      </c>
      <c r="F151" s="8">
        <v>90.6174999999999</v>
      </c>
      <c r="G151" s="8">
        <v>90.684</v>
      </c>
      <c r="H151" s="8">
        <v>90.9</v>
      </c>
      <c r="I151" s="8">
        <v>91.88</v>
      </c>
      <c r="J151" s="8">
        <v>92.53625</v>
      </c>
      <c r="K151" s="9">
        <f t="shared" si="198"/>
        <v>0.03978772232</v>
      </c>
      <c r="L151" s="9">
        <f t="shared" si="199"/>
        <v>0.04055077453</v>
      </c>
      <c r="M151" s="9">
        <f t="shared" si="200"/>
        <v>0.0430292599</v>
      </c>
      <c r="N151" s="9">
        <f t="shared" si="201"/>
        <v>0.05427423982</v>
      </c>
      <c r="O151" s="9">
        <f t="shared" si="202"/>
        <v>0.0618043603</v>
      </c>
      <c r="P151" s="10" t="b">
        <f t="shared" ref="P151:T151" si="206">F151&gt;$E151</f>
        <v>1</v>
      </c>
      <c r="Q151" s="10" t="b">
        <f t="shared" si="206"/>
        <v>1</v>
      </c>
      <c r="R151" s="10" t="b">
        <f t="shared" si="206"/>
        <v>1</v>
      </c>
      <c r="S151" s="10" t="b">
        <f t="shared" si="206"/>
        <v>1</v>
      </c>
      <c r="T151" s="10" t="b">
        <f t="shared" si="206"/>
        <v>1</v>
      </c>
    </row>
    <row r="152" ht="15.75" customHeight="1">
      <c r="A152" s="5">
        <v>45110.0</v>
      </c>
      <c r="B152" s="6" t="s">
        <v>57</v>
      </c>
      <c r="C152" s="5">
        <v>45110.0</v>
      </c>
      <c r="D152" s="7">
        <v>95.25</v>
      </c>
      <c r="E152" s="7">
        <v>99.2</v>
      </c>
      <c r="F152" s="8">
        <v>96.86</v>
      </c>
      <c r="G152" s="8">
        <v>96.146</v>
      </c>
      <c r="H152" s="8">
        <v>95.5066666666666</v>
      </c>
      <c r="I152" s="8">
        <v>94.98</v>
      </c>
      <c r="J152" s="8">
        <v>94.6328947368421</v>
      </c>
      <c r="K152" s="9">
        <f t="shared" si="198"/>
        <v>-0.02358870968</v>
      </c>
      <c r="L152" s="9">
        <f t="shared" si="199"/>
        <v>-0.03078629032</v>
      </c>
      <c r="M152" s="9">
        <f t="shared" si="200"/>
        <v>-0.0372311828</v>
      </c>
      <c r="N152" s="9">
        <f t="shared" si="201"/>
        <v>-0.04254032258</v>
      </c>
      <c r="O152" s="9">
        <f t="shared" si="202"/>
        <v>-0.04603936757</v>
      </c>
      <c r="P152" s="10" t="b">
        <f t="shared" ref="P152:T152" si="207">F152&gt;$E152</f>
        <v>0</v>
      </c>
      <c r="Q152" s="10" t="b">
        <f t="shared" si="207"/>
        <v>0</v>
      </c>
      <c r="R152" s="10" t="b">
        <f t="shared" si="207"/>
        <v>0</v>
      </c>
      <c r="S152" s="10" t="b">
        <f t="shared" si="207"/>
        <v>0</v>
      </c>
      <c r="T152" s="10" t="b">
        <f t="shared" si="207"/>
        <v>0</v>
      </c>
    </row>
    <row r="153" ht="15.75" customHeight="1">
      <c r="A153" s="5">
        <v>44950.0</v>
      </c>
      <c r="B153" s="6" t="s">
        <v>58</v>
      </c>
      <c r="C153" s="5">
        <v>44949.0</v>
      </c>
      <c r="D153" s="7">
        <v>3686.5</v>
      </c>
      <c r="E153" s="7">
        <v>3818.25</v>
      </c>
      <c r="F153" s="8">
        <v>3838.56</v>
      </c>
      <c r="G153" s="8">
        <v>3819.374</v>
      </c>
      <c r="H153" s="8">
        <v>3812.70333333333</v>
      </c>
      <c r="I153" s="8">
        <v>3818.01</v>
      </c>
      <c r="J153" s="8">
        <v>3819.99125</v>
      </c>
      <c r="K153" s="9">
        <f t="shared" si="198"/>
        <v>0.005319190729</v>
      </c>
      <c r="L153" s="9">
        <f t="shared" si="199"/>
        <v>0.0002943756957</v>
      </c>
      <c r="M153" s="9">
        <f t="shared" si="200"/>
        <v>-0.001452672472</v>
      </c>
      <c r="N153" s="9">
        <f t="shared" si="201"/>
        <v>-0.00006285602043</v>
      </c>
      <c r="O153" s="9">
        <f t="shared" si="202"/>
        <v>0.0004560335232</v>
      </c>
      <c r="P153" s="10" t="b">
        <f t="shared" ref="P153:T153" si="208">F153&gt;$E153</f>
        <v>1</v>
      </c>
      <c r="Q153" s="10" t="b">
        <f t="shared" si="208"/>
        <v>1</v>
      </c>
      <c r="R153" s="10" t="b">
        <f t="shared" si="208"/>
        <v>0</v>
      </c>
      <c r="S153" s="10" t="b">
        <f t="shared" si="208"/>
        <v>0</v>
      </c>
      <c r="T153" s="10" t="b">
        <f t="shared" si="208"/>
        <v>1</v>
      </c>
    </row>
    <row r="154" ht="15.75" customHeight="1">
      <c r="A154" s="5">
        <v>45019.0</v>
      </c>
      <c r="B154" s="6" t="s">
        <v>58</v>
      </c>
      <c r="C154" s="5">
        <v>45019.0</v>
      </c>
      <c r="D154" s="7">
        <v>3993.75</v>
      </c>
      <c r="E154" s="7">
        <v>4177.4</v>
      </c>
      <c r="F154" s="8">
        <v>4389.44</v>
      </c>
      <c r="G154" s="8">
        <v>4419.144</v>
      </c>
      <c r="H154" s="8">
        <v>4438.15833333333</v>
      </c>
      <c r="I154" s="8">
        <v>4462.33857142857</v>
      </c>
      <c r="J154" s="8">
        <v>4496.71625</v>
      </c>
      <c r="K154" s="9">
        <f t="shared" si="198"/>
        <v>0.05075884521</v>
      </c>
      <c r="L154" s="9">
        <f t="shared" si="199"/>
        <v>0.0578694882</v>
      </c>
      <c r="M154" s="9">
        <f t="shared" si="200"/>
        <v>0.06242120298</v>
      </c>
      <c r="N154" s="9">
        <f t="shared" si="201"/>
        <v>0.06820954934</v>
      </c>
      <c r="O154" s="9">
        <f t="shared" si="202"/>
        <v>0.07643899315</v>
      </c>
      <c r="P154" s="10" t="b">
        <f t="shared" ref="P154:T154" si="209">F154&gt;$E154</f>
        <v>1</v>
      </c>
      <c r="Q154" s="10" t="b">
        <f t="shared" si="209"/>
        <v>1</v>
      </c>
      <c r="R154" s="10" t="b">
        <f t="shared" si="209"/>
        <v>1</v>
      </c>
      <c r="S154" s="10" t="b">
        <f t="shared" si="209"/>
        <v>1</v>
      </c>
      <c r="T154" s="10" t="b">
        <f t="shared" si="209"/>
        <v>1</v>
      </c>
    </row>
    <row r="155" ht="15.75" customHeight="1">
      <c r="A155" s="5">
        <v>45027.0</v>
      </c>
      <c r="B155" s="6" t="s">
        <v>58</v>
      </c>
      <c r="C155" s="5">
        <v>45026.0</v>
      </c>
      <c r="D155" s="7">
        <v>4177.4</v>
      </c>
      <c r="E155" s="7">
        <v>4209.25</v>
      </c>
      <c r="F155" s="8">
        <v>4446.1</v>
      </c>
      <c r="G155" s="8">
        <v>4458.512</v>
      </c>
      <c r="H155" s="8">
        <v>4483.34333333333</v>
      </c>
      <c r="I155" s="8">
        <v>4515.14428571428</v>
      </c>
      <c r="J155" s="8">
        <v>4545.74749999999</v>
      </c>
      <c r="K155" s="9">
        <f t="shared" si="198"/>
        <v>0.05626893152</v>
      </c>
      <c r="L155" s="9">
        <f t="shared" si="199"/>
        <v>0.05921767536</v>
      </c>
      <c r="M155" s="9">
        <f t="shared" si="200"/>
        <v>0.06511690523</v>
      </c>
      <c r="N155" s="9">
        <f t="shared" si="201"/>
        <v>0.07267192153</v>
      </c>
      <c r="O155" s="9">
        <f t="shared" si="202"/>
        <v>0.07994238879</v>
      </c>
      <c r="P155" s="10" t="b">
        <f t="shared" ref="P155:T155" si="210">F155&gt;$E155</f>
        <v>1</v>
      </c>
      <c r="Q155" s="10" t="b">
        <f t="shared" si="210"/>
        <v>1</v>
      </c>
      <c r="R155" s="10" t="b">
        <f t="shared" si="210"/>
        <v>1</v>
      </c>
      <c r="S155" s="10" t="b">
        <f t="shared" si="210"/>
        <v>1</v>
      </c>
      <c r="T155" s="10" t="b">
        <f t="shared" si="210"/>
        <v>1</v>
      </c>
    </row>
    <row r="156" ht="15.75" customHeight="1">
      <c r="A156" s="5">
        <v>45054.0</v>
      </c>
      <c r="B156" s="6" t="s">
        <v>58</v>
      </c>
      <c r="C156" s="5">
        <v>45054.0</v>
      </c>
      <c r="D156" s="7">
        <v>4549.25</v>
      </c>
      <c r="E156" s="7">
        <v>4538.9</v>
      </c>
      <c r="F156" s="8">
        <v>4614.2175</v>
      </c>
      <c r="G156" s="8">
        <v>4636.146</v>
      </c>
      <c r="H156" s="8">
        <v>4634.92833333333</v>
      </c>
      <c r="I156" s="8">
        <v>4634.08714285714</v>
      </c>
      <c r="J156" s="8">
        <v>4658.95375</v>
      </c>
      <c r="K156" s="9">
        <f t="shared" si="198"/>
        <v>0.01659377823</v>
      </c>
      <c r="L156" s="9">
        <f t="shared" si="199"/>
        <v>0.02142501487</v>
      </c>
      <c r="M156" s="9">
        <f t="shared" si="200"/>
        <v>0.02115674135</v>
      </c>
      <c r="N156" s="9">
        <f t="shared" si="201"/>
        <v>0.0209714122</v>
      </c>
      <c r="O156" s="9">
        <f t="shared" si="202"/>
        <v>0.02644996585</v>
      </c>
      <c r="P156" s="10" t="b">
        <f t="shared" ref="P156:T156" si="211">F156&gt;$E156</f>
        <v>1</v>
      </c>
      <c r="Q156" s="10" t="b">
        <f t="shared" si="211"/>
        <v>1</v>
      </c>
      <c r="R156" s="10" t="b">
        <f t="shared" si="211"/>
        <v>1</v>
      </c>
      <c r="S156" s="10" t="b">
        <f t="shared" si="211"/>
        <v>1</v>
      </c>
      <c r="T156" s="10" t="b">
        <f t="shared" si="211"/>
        <v>1</v>
      </c>
    </row>
    <row r="157" ht="15.75" customHeight="1">
      <c r="A157" s="5">
        <v>45084.0</v>
      </c>
      <c r="B157" s="6" t="s">
        <v>58</v>
      </c>
      <c r="C157" s="5">
        <v>45082.0</v>
      </c>
      <c r="D157" s="7">
        <v>4780.75</v>
      </c>
      <c r="E157" s="7">
        <v>4755.95</v>
      </c>
      <c r="F157" s="8">
        <v>4717.215</v>
      </c>
      <c r="G157" s="8">
        <v>4743.51</v>
      </c>
      <c r="H157" s="8">
        <v>4764.04333333333</v>
      </c>
      <c r="I157" s="8">
        <v>4781.49285714285</v>
      </c>
      <c r="J157" s="8">
        <v>4771.93374999999</v>
      </c>
      <c r="K157" s="9">
        <f t="shared" si="198"/>
        <v>-0.008144534741</v>
      </c>
      <c r="L157" s="9">
        <f t="shared" si="199"/>
        <v>-0.002615670896</v>
      </c>
      <c r="M157" s="9">
        <f t="shared" si="200"/>
        <v>0.001701728011</v>
      </c>
      <c r="N157" s="9">
        <f t="shared" si="201"/>
        <v>0.00537071608</v>
      </c>
      <c r="O157" s="9">
        <f t="shared" si="202"/>
        <v>0.003360790168</v>
      </c>
      <c r="P157" s="10" t="b">
        <f t="shared" ref="P157:T157" si="212">F157&gt;$E157</f>
        <v>0</v>
      </c>
      <c r="Q157" s="10" t="b">
        <f t="shared" si="212"/>
        <v>0</v>
      </c>
      <c r="R157" s="10" t="b">
        <f t="shared" si="212"/>
        <v>1</v>
      </c>
      <c r="S157" s="10" t="b">
        <f t="shared" si="212"/>
        <v>1</v>
      </c>
      <c r="T157" s="10" t="b">
        <f t="shared" si="212"/>
        <v>1</v>
      </c>
    </row>
    <row r="158" ht="15.75" customHeight="1">
      <c r="A158" s="5">
        <v>45112.0</v>
      </c>
      <c r="B158" s="6" t="s">
        <v>58</v>
      </c>
      <c r="C158" s="5">
        <v>45110.0</v>
      </c>
      <c r="D158" s="7">
        <v>4890.05</v>
      </c>
      <c r="E158" s="7">
        <v>4917.65</v>
      </c>
      <c r="F158" s="8">
        <v>4837.24749999999</v>
      </c>
      <c r="G158" s="8">
        <v>4794.57799999999</v>
      </c>
      <c r="H158" s="8">
        <v>4767.92833333333</v>
      </c>
      <c r="I158" s="8">
        <v>4748.34428571428</v>
      </c>
      <c r="J158" s="8">
        <v>4744.60694444444</v>
      </c>
      <c r="K158" s="9">
        <f t="shared" si="198"/>
        <v>-0.01634978089</v>
      </c>
      <c r="L158" s="9">
        <f t="shared" si="199"/>
        <v>-0.0250265879</v>
      </c>
      <c r="M158" s="9">
        <f t="shared" si="200"/>
        <v>-0.03044577525</v>
      </c>
      <c r="N158" s="9">
        <f t="shared" si="201"/>
        <v>-0.0344281749</v>
      </c>
      <c r="O158" s="9">
        <f t="shared" si="202"/>
        <v>-0.03518816011</v>
      </c>
      <c r="P158" s="10" t="b">
        <f t="shared" ref="P158:T158" si="213">F158&gt;$E158</f>
        <v>0</v>
      </c>
      <c r="Q158" s="10" t="b">
        <f t="shared" si="213"/>
        <v>0</v>
      </c>
      <c r="R158" s="10" t="b">
        <f t="shared" si="213"/>
        <v>0</v>
      </c>
      <c r="S158" s="10" t="b">
        <f t="shared" si="213"/>
        <v>0</v>
      </c>
      <c r="T158" s="10" t="b">
        <f t="shared" si="213"/>
        <v>0</v>
      </c>
    </row>
    <row r="159" ht="15.75" customHeight="1">
      <c r="A159" s="5">
        <v>45022.0</v>
      </c>
      <c r="B159" s="6" t="s">
        <v>59</v>
      </c>
      <c r="C159" s="5">
        <v>45019.0</v>
      </c>
      <c r="D159" s="7">
        <v>1669.05</v>
      </c>
      <c r="E159" s="7">
        <v>1701.1</v>
      </c>
      <c r="F159" s="8">
        <v>1726.595</v>
      </c>
      <c r="G159" s="8">
        <v>1724.96199999999</v>
      </c>
      <c r="H159" s="8">
        <v>1720.84333333333</v>
      </c>
      <c r="I159" s="8">
        <v>1720.46571428571</v>
      </c>
      <c r="J159" s="8">
        <v>1722.77124999999</v>
      </c>
      <c r="K159" s="9">
        <f t="shared" si="198"/>
        <v>0.01498736112</v>
      </c>
      <c r="L159" s="9">
        <f t="shared" si="199"/>
        <v>0.01402739404</v>
      </c>
      <c r="M159" s="9">
        <f t="shared" si="200"/>
        <v>0.01160621559</v>
      </c>
      <c r="N159" s="9">
        <f t="shared" si="201"/>
        <v>0.01138423037</v>
      </c>
      <c r="O159" s="9">
        <f t="shared" si="202"/>
        <v>0.01273955088</v>
      </c>
      <c r="P159" s="10" t="b">
        <f t="shared" ref="P159:T159" si="214">F159&gt;$E159</f>
        <v>1</v>
      </c>
      <c r="Q159" s="10" t="b">
        <f t="shared" si="214"/>
        <v>1</v>
      </c>
      <c r="R159" s="10" t="b">
        <f t="shared" si="214"/>
        <v>1</v>
      </c>
      <c r="S159" s="10" t="b">
        <f t="shared" si="214"/>
        <v>1</v>
      </c>
      <c r="T159" s="10" t="b">
        <f t="shared" si="214"/>
        <v>1</v>
      </c>
    </row>
    <row r="160" ht="15.75" customHeight="1">
      <c r="A160" s="5">
        <v>45091.0</v>
      </c>
      <c r="B160" s="6" t="s">
        <v>59</v>
      </c>
      <c r="C160" s="5">
        <v>45089.0</v>
      </c>
      <c r="D160" s="7">
        <v>1779.35</v>
      </c>
      <c r="E160" s="7">
        <v>1769.1</v>
      </c>
      <c r="F160" s="8">
        <v>1758.92</v>
      </c>
      <c r="G160" s="8">
        <v>1771.346</v>
      </c>
      <c r="H160" s="8">
        <v>1781.27</v>
      </c>
      <c r="I160" s="8">
        <v>1789.70857142857</v>
      </c>
      <c r="J160" s="8">
        <v>1793.17874999999</v>
      </c>
      <c r="K160" s="9">
        <f t="shared" si="198"/>
        <v>-0.005754338364</v>
      </c>
      <c r="L160" s="9">
        <f t="shared" si="199"/>
        <v>0.001269572099</v>
      </c>
      <c r="M160" s="9">
        <f t="shared" si="200"/>
        <v>0.006879204115</v>
      </c>
      <c r="N160" s="9">
        <f t="shared" si="201"/>
        <v>0.01164918401</v>
      </c>
      <c r="O160" s="9">
        <f t="shared" si="202"/>
        <v>0.01361073427</v>
      </c>
      <c r="P160" s="10" t="b">
        <f t="shared" ref="P160:T160" si="215">F160&gt;$E160</f>
        <v>0</v>
      </c>
      <c r="Q160" s="10" t="b">
        <f t="shared" si="215"/>
        <v>1</v>
      </c>
      <c r="R160" s="10" t="b">
        <f t="shared" si="215"/>
        <v>1</v>
      </c>
      <c r="S160" s="10" t="b">
        <f t="shared" si="215"/>
        <v>1</v>
      </c>
      <c r="T160" s="10" t="b">
        <f t="shared" si="215"/>
        <v>1</v>
      </c>
    </row>
    <row r="161" ht="15.75" customHeight="1">
      <c r="A161" s="5">
        <v>44942.0</v>
      </c>
      <c r="B161" s="6" t="s">
        <v>60</v>
      </c>
      <c r="C161" s="5">
        <v>44942.0</v>
      </c>
      <c r="D161" s="7">
        <v>1034.45</v>
      </c>
      <c r="E161" s="7">
        <v>1046.5</v>
      </c>
      <c r="F161" s="8">
        <v>1043.0875</v>
      </c>
      <c r="G161" s="8">
        <v>1059.346</v>
      </c>
      <c r="H161" s="8">
        <v>1066.52666666666</v>
      </c>
      <c r="I161" s="8">
        <v>1069.84142857142</v>
      </c>
      <c r="J161" s="8">
        <v>1075.21</v>
      </c>
      <c r="K161" s="9">
        <f t="shared" si="198"/>
        <v>-0.003260869565</v>
      </c>
      <c r="L161" s="9">
        <f t="shared" si="199"/>
        <v>0.01227520306</v>
      </c>
      <c r="M161" s="9">
        <f t="shared" si="200"/>
        <v>0.01913680522</v>
      </c>
      <c r="N161" s="9">
        <f t="shared" si="201"/>
        <v>0.02230427957</v>
      </c>
      <c r="O161" s="9">
        <f t="shared" si="202"/>
        <v>0.02743430483</v>
      </c>
      <c r="P161" s="10" t="b">
        <f t="shared" ref="P161:T161" si="216">F161&gt;$E161</f>
        <v>0</v>
      </c>
      <c r="Q161" s="10" t="b">
        <f t="shared" si="216"/>
        <v>1</v>
      </c>
      <c r="R161" s="10" t="b">
        <f t="shared" si="216"/>
        <v>1</v>
      </c>
      <c r="S161" s="10" t="b">
        <f t="shared" si="216"/>
        <v>1</v>
      </c>
      <c r="T161" s="10" t="b">
        <f t="shared" si="216"/>
        <v>1</v>
      </c>
    </row>
    <row r="162" ht="15.75" customHeight="1">
      <c r="A162" s="5">
        <v>44972.0</v>
      </c>
      <c r="B162" s="6" t="s">
        <v>60</v>
      </c>
      <c r="C162" s="5">
        <v>44970.0</v>
      </c>
      <c r="D162" s="7">
        <v>1071.4</v>
      </c>
      <c r="E162" s="7">
        <v>1134.45</v>
      </c>
      <c r="F162" s="8">
        <v>1105.59</v>
      </c>
      <c r="G162" s="8">
        <v>1102.704</v>
      </c>
      <c r="H162" s="8">
        <v>1102.53833333333</v>
      </c>
      <c r="I162" s="8">
        <v>1097.89428571428</v>
      </c>
      <c r="J162" s="8">
        <v>1086.59625</v>
      </c>
      <c r="K162" s="9">
        <f t="shared" si="198"/>
        <v>-0.02543964035</v>
      </c>
      <c r="L162" s="9">
        <f t="shared" si="199"/>
        <v>-0.02798360439</v>
      </c>
      <c r="M162" s="9">
        <f t="shared" si="200"/>
        <v>-0.02812963698</v>
      </c>
      <c r="N162" s="9">
        <f t="shared" si="201"/>
        <v>-0.0322232926</v>
      </c>
      <c r="O162" s="9">
        <f t="shared" si="202"/>
        <v>-0.04218233505</v>
      </c>
      <c r="P162" s="10" t="b">
        <f t="shared" ref="P162:T162" si="217">F162&gt;$E162</f>
        <v>0</v>
      </c>
      <c r="Q162" s="10" t="b">
        <f t="shared" si="217"/>
        <v>0</v>
      </c>
      <c r="R162" s="10" t="b">
        <f t="shared" si="217"/>
        <v>0</v>
      </c>
      <c r="S162" s="10" t="b">
        <f t="shared" si="217"/>
        <v>0</v>
      </c>
      <c r="T162" s="10" t="b">
        <f t="shared" si="217"/>
        <v>0</v>
      </c>
    </row>
    <row r="163" ht="15.75" customHeight="1">
      <c r="A163" s="5">
        <v>44998.0</v>
      </c>
      <c r="B163" s="6" t="s">
        <v>60</v>
      </c>
      <c r="C163" s="5">
        <v>44998.0</v>
      </c>
      <c r="D163" s="7">
        <v>1133.8</v>
      </c>
      <c r="E163" s="7">
        <v>1127.15</v>
      </c>
      <c r="F163" s="8">
        <v>1082.7225</v>
      </c>
      <c r="G163" s="8">
        <v>1066.23</v>
      </c>
      <c r="H163" s="8">
        <v>1061.81166666666</v>
      </c>
      <c r="I163" s="8">
        <v>1059.48714285714</v>
      </c>
      <c r="J163" s="8">
        <v>1059.4675</v>
      </c>
      <c r="K163" s="9">
        <f t="shared" si="198"/>
        <v>-0.03941578317</v>
      </c>
      <c r="L163" s="9">
        <f t="shared" si="199"/>
        <v>-0.05404781972</v>
      </c>
      <c r="M163" s="9">
        <f t="shared" si="200"/>
        <v>-0.05796773573</v>
      </c>
      <c r="N163" s="9">
        <f t="shared" si="201"/>
        <v>-0.06003003783</v>
      </c>
      <c r="O163" s="9">
        <f t="shared" si="202"/>
        <v>-0.06004746484</v>
      </c>
      <c r="P163" s="10" t="b">
        <f t="shared" ref="P163:T163" si="218">F163&gt;$E163</f>
        <v>0</v>
      </c>
      <c r="Q163" s="10" t="b">
        <f t="shared" si="218"/>
        <v>0</v>
      </c>
      <c r="R163" s="10" t="b">
        <f t="shared" si="218"/>
        <v>0</v>
      </c>
      <c r="S163" s="10" t="b">
        <f t="shared" si="218"/>
        <v>0</v>
      </c>
      <c r="T163" s="10" t="b">
        <f t="shared" si="218"/>
        <v>0</v>
      </c>
    </row>
    <row r="164" ht="15.75" customHeight="1">
      <c r="A164" s="5">
        <v>45065.0</v>
      </c>
      <c r="B164" s="6" t="s">
        <v>60</v>
      </c>
      <c r="C164" s="5">
        <v>45061.0</v>
      </c>
      <c r="D164" s="7">
        <v>1072.15</v>
      </c>
      <c r="E164" s="7">
        <v>1098.1</v>
      </c>
      <c r="F164" s="8">
        <v>1097.1325</v>
      </c>
      <c r="G164" s="8">
        <v>1101.612</v>
      </c>
      <c r="H164" s="8">
        <v>1110.66666666666</v>
      </c>
      <c r="I164" s="8">
        <v>1119.76857142857</v>
      </c>
      <c r="J164" s="8">
        <v>1134.365</v>
      </c>
      <c r="K164" s="9">
        <f t="shared" si="198"/>
        <v>-0.0008810672981</v>
      </c>
      <c r="L164" s="9">
        <f t="shared" si="199"/>
        <v>0.003198251525</v>
      </c>
      <c r="M164" s="9">
        <f t="shared" si="200"/>
        <v>0.01144400935</v>
      </c>
      <c r="N164" s="9">
        <f t="shared" si="201"/>
        <v>0.0197327852</v>
      </c>
      <c r="O164" s="9">
        <f t="shared" si="202"/>
        <v>0.03302522539</v>
      </c>
      <c r="P164" s="10" t="b">
        <f t="shared" ref="P164:T164" si="219">F164&gt;$E164</f>
        <v>0</v>
      </c>
      <c r="Q164" s="10" t="b">
        <f t="shared" si="219"/>
        <v>1</v>
      </c>
      <c r="R164" s="10" t="b">
        <f t="shared" si="219"/>
        <v>1</v>
      </c>
      <c r="S164" s="10" t="b">
        <f t="shared" si="219"/>
        <v>1</v>
      </c>
      <c r="T164" s="10" t="b">
        <f t="shared" si="219"/>
        <v>1</v>
      </c>
    </row>
    <row r="165" ht="15.75" customHeight="1">
      <c r="A165" s="5">
        <v>45121.0</v>
      </c>
      <c r="B165" s="6" t="s">
        <v>60</v>
      </c>
      <c r="C165" s="5">
        <v>45117.0</v>
      </c>
      <c r="D165" s="7">
        <v>1228.65</v>
      </c>
      <c r="E165" s="7">
        <v>1252.95</v>
      </c>
      <c r="F165" s="8">
        <v>1176.685</v>
      </c>
      <c r="G165" s="8">
        <v>1182.214</v>
      </c>
      <c r="H165" s="8">
        <v>1184.04310344827</v>
      </c>
      <c r="I165" s="11"/>
      <c r="J165" s="11"/>
      <c r="K165" s="9">
        <f t="shared" si="198"/>
        <v>-0.06086835069</v>
      </c>
      <c r="L165" s="9">
        <f t="shared" si="199"/>
        <v>-0.05645556487</v>
      </c>
      <c r="M165" s="9">
        <f t="shared" si="200"/>
        <v>-0.05499572732</v>
      </c>
      <c r="N165" s="9"/>
      <c r="O165" s="9"/>
      <c r="P165" s="10" t="b">
        <f t="shared" ref="P165:R165" si="220">F165&gt;$E165</f>
        <v>0</v>
      </c>
      <c r="Q165" s="10" t="b">
        <f t="shared" si="220"/>
        <v>0</v>
      </c>
      <c r="R165" s="10" t="b">
        <f t="shared" si="220"/>
        <v>0</v>
      </c>
      <c r="S165" s="10"/>
      <c r="T165" s="10"/>
    </row>
    <row r="166" ht="15.75" customHeight="1">
      <c r="A166" s="5">
        <v>45147.0</v>
      </c>
      <c r="B166" s="6" t="s">
        <v>60</v>
      </c>
      <c r="C166" s="5">
        <v>45145.0</v>
      </c>
      <c r="D166" s="7">
        <v>1228.0</v>
      </c>
      <c r="E166" s="7">
        <v>1227.85</v>
      </c>
      <c r="F166" s="11"/>
      <c r="G166" s="11"/>
      <c r="H166" s="11"/>
      <c r="I166" s="11"/>
      <c r="J166" s="11"/>
      <c r="K166" s="9"/>
      <c r="L166" s="9"/>
      <c r="M166" s="9"/>
      <c r="N166" s="9"/>
      <c r="O166" s="9"/>
      <c r="P166" s="10"/>
      <c r="Q166" s="10"/>
      <c r="R166" s="10"/>
      <c r="S166" s="10"/>
      <c r="T166" s="10"/>
    </row>
    <row r="167" ht="15.75" customHeight="1">
      <c r="A167" s="5">
        <v>45021.0</v>
      </c>
      <c r="B167" s="6" t="s">
        <v>61</v>
      </c>
      <c r="C167" s="5">
        <v>45019.0</v>
      </c>
      <c r="D167" s="7">
        <v>507.75</v>
      </c>
      <c r="E167" s="7">
        <v>517.05</v>
      </c>
      <c r="F167" s="8">
        <v>539.204999999999</v>
      </c>
      <c r="G167" s="8">
        <v>543.286</v>
      </c>
      <c r="H167" s="8">
        <v>547.569999999999</v>
      </c>
      <c r="I167" s="8">
        <v>552.635714285714</v>
      </c>
      <c r="J167" s="8">
        <v>556.65375</v>
      </c>
      <c r="K167" s="9">
        <f t="shared" ref="K167:K191" si="222">((F167-E167)/E167)</f>
        <v>0.04284885408</v>
      </c>
      <c r="L167" s="9">
        <f t="shared" ref="L167:L191" si="223">((G167-E167)/E167)</f>
        <v>0.05074170777</v>
      </c>
      <c r="M167" s="9">
        <f t="shared" ref="M167:M191" si="224">((H167-E167)/E167)</f>
        <v>0.05902717339</v>
      </c>
      <c r="N167" s="9">
        <f t="shared" ref="N167:N188" si="225">((I167-E167)/E167)</f>
        <v>0.06882451269</v>
      </c>
      <c r="O167" s="9">
        <f t="shared" ref="O167:O188" si="226">((J167-E167)/E167)</f>
        <v>0.07659559037</v>
      </c>
      <c r="P167" s="10" t="b">
        <f t="shared" ref="P167:T167" si="221">F167&gt;$E167</f>
        <v>1</v>
      </c>
      <c r="Q167" s="10" t="b">
        <f t="shared" si="221"/>
        <v>1</v>
      </c>
      <c r="R167" s="10" t="b">
        <f t="shared" si="221"/>
        <v>1</v>
      </c>
      <c r="S167" s="10" t="b">
        <f t="shared" si="221"/>
        <v>1</v>
      </c>
      <c r="T167" s="10" t="b">
        <f t="shared" si="221"/>
        <v>1</v>
      </c>
    </row>
    <row r="168" ht="15.75" customHeight="1">
      <c r="A168" s="5">
        <v>45029.0</v>
      </c>
      <c r="B168" s="6" t="s">
        <v>61</v>
      </c>
      <c r="C168" s="5">
        <v>45026.0</v>
      </c>
      <c r="D168" s="7">
        <v>531.85</v>
      </c>
      <c r="E168" s="7">
        <v>530.25</v>
      </c>
      <c r="F168" s="8">
        <v>546.4775</v>
      </c>
      <c r="G168" s="8">
        <v>550.98</v>
      </c>
      <c r="H168" s="8">
        <v>556.321666666666</v>
      </c>
      <c r="I168" s="8">
        <v>560.387142857142</v>
      </c>
      <c r="J168" s="8">
        <v>563.8875</v>
      </c>
      <c r="K168" s="9">
        <f t="shared" si="222"/>
        <v>0.03060348892</v>
      </c>
      <c r="L168" s="9">
        <f t="shared" si="223"/>
        <v>0.03909476662</v>
      </c>
      <c r="M168" s="9">
        <f t="shared" si="224"/>
        <v>0.04916863115</v>
      </c>
      <c r="N168" s="9">
        <f t="shared" si="225"/>
        <v>0.05683572439</v>
      </c>
      <c r="O168" s="9">
        <f t="shared" si="226"/>
        <v>0.06343705799</v>
      </c>
      <c r="P168" s="10" t="b">
        <f t="shared" ref="P168:T168" si="227">F168&gt;$E168</f>
        <v>1</v>
      </c>
      <c r="Q168" s="10" t="b">
        <f t="shared" si="227"/>
        <v>1</v>
      </c>
      <c r="R168" s="10" t="b">
        <f t="shared" si="227"/>
        <v>1</v>
      </c>
      <c r="S168" s="10" t="b">
        <f t="shared" si="227"/>
        <v>1</v>
      </c>
      <c r="T168" s="10" t="b">
        <f t="shared" si="227"/>
        <v>1</v>
      </c>
    </row>
    <row r="169" ht="15.75" customHeight="1">
      <c r="A169" s="5">
        <v>45071.0</v>
      </c>
      <c r="B169" s="6" t="s">
        <v>61</v>
      </c>
      <c r="C169" s="5">
        <v>45068.0</v>
      </c>
      <c r="D169" s="7">
        <v>572.05</v>
      </c>
      <c r="E169" s="7">
        <v>592.35</v>
      </c>
      <c r="F169" s="8">
        <v>608.3875</v>
      </c>
      <c r="G169" s="8">
        <v>618.056</v>
      </c>
      <c r="H169" s="8">
        <v>626.753333333333</v>
      </c>
      <c r="I169" s="8">
        <v>631.898571428571</v>
      </c>
      <c r="J169" s="8">
        <v>634.74375</v>
      </c>
      <c r="K169" s="9">
        <f t="shared" si="222"/>
        <v>0.02707436482</v>
      </c>
      <c r="L169" s="9">
        <f t="shared" si="223"/>
        <v>0.0433966405</v>
      </c>
      <c r="M169" s="9">
        <f t="shared" si="224"/>
        <v>0.05807940125</v>
      </c>
      <c r="N169" s="9">
        <f t="shared" si="225"/>
        <v>0.06676554643</v>
      </c>
      <c r="O169" s="9">
        <f t="shared" si="226"/>
        <v>0.07156875158</v>
      </c>
      <c r="P169" s="10" t="b">
        <f t="shared" ref="P169:T169" si="228">F169&gt;$E169</f>
        <v>1</v>
      </c>
      <c r="Q169" s="10" t="b">
        <f t="shared" si="228"/>
        <v>1</v>
      </c>
      <c r="R169" s="10" t="b">
        <f t="shared" si="228"/>
        <v>1</v>
      </c>
      <c r="S169" s="10" t="b">
        <f t="shared" si="228"/>
        <v>1</v>
      </c>
      <c r="T169" s="10" t="b">
        <f t="shared" si="228"/>
        <v>1</v>
      </c>
    </row>
    <row r="170" ht="15.75" customHeight="1">
      <c r="A170" s="5">
        <v>44959.0</v>
      </c>
      <c r="B170" s="6" t="s">
        <v>62</v>
      </c>
      <c r="C170" s="5">
        <v>44956.0</v>
      </c>
      <c r="D170" s="7">
        <v>4573.05</v>
      </c>
      <c r="E170" s="7">
        <v>4594.8</v>
      </c>
      <c r="F170" s="8">
        <v>4473.2225</v>
      </c>
      <c r="G170" s="8">
        <v>4437.212</v>
      </c>
      <c r="H170" s="8">
        <v>4412.55166666666</v>
      </c>
      <c r="I170" s="8">
        <v>4388.27571428571</v>
      </c>
      <c r="J170" s="8">
        <v>4377.12</v>
      </c>
      <c r="K170" s="9">
        <f t="shared" si="222"/>
        <v>-0.02645980239</v>
      </c>
      <c r="L170" s="9">
        <f t="shared" si="223"/>
        <v>-0.03429703143</v>
      </c>
      <c r="M170" s="9">
        <f t="shared" si="224"/>
        <v>-0.03966404051</v>
      </c>
      <c r="N170" s="9">
        <f t="shared" si="225"/>
        <v>-0.04494739395</v>
      </c>
      <c r="O170" s="9">
        <f t="shared" si="226"/>
        <v>-0.04737529381</v>
      </c>
      <c r="P170" s="10" t="b">
        <f t="shared" ref="P170:T170" si="229">F170&gt;$E170</f>
        <v>0</v>
      </c>
      <c r="Q170" s="10" t="b">
        <f t="shared" si="229"/>
        <v>0</v>
      </c>
      <c r="R170" s="10" t="b">
        <f t="shared" si="229"/>
        <v>0</v>
      </c>
      <c r="S170" s="10" t="b">
        <f t="shared" si="229"/>
        <v>0</v>
      </c>
      <c r="T170" s="10" t="b">
        <f t="shared" si="229"/>
        <v>0</v>
      </c>
    </row>
    <row r="171" ht="15.75" customHeight="1">
      <c r="A171" s="5">
        <v>45043.0</v>
      </c>
      <c r="B171" s="6" t="s">
        <v>62</v>
      </c>
      <c r="C171" s="5">
        <v>45040.0</v>
      </c>
      <c r="D171" s="7">
        <v>4415.85</v>
      </c>
      <c r="E171" s="7">
        <v>4587.05</v>
      </c>
      <c r="F171" s="8">
        <v>4587.535</v>
      </c>
      <c r="G171" s="8">
        <v>4622.44199999999</v>
      </c>
      <c r="H171" s="8">
        <v>4673.24166666666</v>
      </c>
      <c r="I171" s="8">
        <v>4725.03</v>
      </c>
      <c r="J171" s="8">
        <v>4757.2275</v>
      </c>
      <c r="K171" s="9">
        <f t="shared" si="222"/>
        <v>0.0001057324424</v>
      </c>
      <c r="L171" s="9">
        <f t="shared" si="223"/>
        <v>0.007715634231</v>
      </c>
      <c r="M171" s="9">
        <f t="shared" si="224"/>
        <v>0.01879021739</v>
      </c>
      <c r="N171" s="9">
        <f t="shared" si="225"/>
        <v>0.03008033486</v>
      </c>
      <c r="O171" s="9">
        <f t="shared" si="226"/>
        <v>0.037099552</v>
      </c>
      <c r="P171" s="10" t="b">
        <f t="shared" ref="P171:T171" si="230">F171&gt;$E171</f>
        <v>1</v>
      </c>
      <c r="Q171" s="10" t="b">
        <f t="shared" si="230"/>
        <v>1</v>
      </c>
      <c r="R171" s="10" t="b">
        <f t="shared" si="230"/>
        <v>1</v>
      </c>
      <c r="S171" s="10" t="b">
        <f t="shared" si="230"/>
        <v>1</v>
      </c>
      <c r="T171" s="10" t="b">
        <f t="shared" si="230"/>
        <v>1</v>
      </c>
    </row>
    <row r="172" ht="15.75" customHeight="1">
      <c r="A172" s="5">
        <v>45084.0</v>
      </c>
      <c r="B172" s="6" t="s">
        <v>62</v>
      </c>
      <c r="C172" s="5">
        <v>45082.0</v>
      </c>
      <c r="D172" s="7">
        <v>4893.15</v>
      </c>
      <c r="E172" s="7">
        <v>4940.1</v>
      </c>
      <c r="F172" s="8">
        <v>5027.05999999999</v>
      </c>
      <c r="G172" s="8">
        <v>5041.53</v>
      </c>
      <c r="H172" s="8">
        <v>5032.53</v>
      </c>
      <c r="I172" s="8">
        <v>5004.95428571428</v>
      </c>
      <c r="J172" s="8">
        <v>4965.92125</v>
      </c>
      <c r="K172" s="9">
        <f t="shared" si="222"/>
        <v>0.01760288253</v>
      </c>
      <c r="L172" s="9">
        <f t="shared" si="223"/>
        <v>0.02053197304</v>
      </c>
      <c r="M172" s="9">
        <f t="shared" si="224"/>
        <v>0.01871014757</v>
      </c>
      <c r="N172" s="9">
        <f t="shared" si="225"/>
        <v>0.01312813217</v>
      </c>
      <c r="O172" s="9">
        <f t="shared" si="226"/>
        <v>0.005226867877</v>
      </c>
      <c r="P172" s="10" t="b">
        <f t="shared" ref="P172:T172" si="231">F172&gt;$E172</f>
        <v>1</v>
      </c>
      <c r="Q172" s="10" t="b">
        <f t="shared" si="231"/>
        <v>1</v>
      </c>
      <c r="R172" s="10" t="b">
        <f t="shared" si="231"/>
        <v>1</v>
      </c>
      <c r="S172" s="10" t="b">
        <f t="shared" si="231"/>
        <v>1</v>
      </c>
      <c r="T172" s="10" t="b">
        <f t="shared" si="231"/>
        <v>1</v>
      </c>
    </row>
    <row r="173" ht="15.75" customHeight="1">
      <c r="A173" s="5">
        <v>45091.0</v>
      </c>
      <c r="B173" s="6" t="s">
        <v>63</v>
      </c>
      <c r="C173" s="5">
        <v>45089.0</v>
      </c>
      <c r="D173" s="7">
        <v>281.0</v>
      </c>
      <c r="E173" s="7">
        <v>282.65</v>
      </c>
      <c r="F173" s="8">
        <v>279.895</v>
      </c>
      <c r="G173" s="8">
        <v>279.42</v>
      </c>
      <c r="H173" s="8">
        <v>278.883333333333</v>
      </c>
      <c r="I173" s="8">
        <v>273.99</v>
      </c>
      <c r="J173" s="8">
        <v>269.405</v>
      </c>
      <c r="K173" s="9">
        <f t="shared" si="222"/>
        <v>-0.009747036972</v>
      </c>
      <c r="L173" s="9">
        <f t="shared" si="223"/>
        <v>-0.01142756059</v>
      </c>
      <c r="M173" s="9">
        <f t="shared" si="224"/>
        <v>-0.01332625744</v>
      </c>
      <c r="N173" s="9">
        <f t="shared" si="225"/>
        <v>-0.03063859897</v>
      </c>
      <c r="O173" s="9">
        <f t="shared" si="226"/>
        <v>-0.0468600743</v>
      </c>
      <c r="P173" s="10" t="b">
        <f t="shared" ref="P173:T173" si="232">F173&gt;$E173</f>
        <v>0</v>
      </c>
      <c r="Q173" s="10" t="b">
        <f t="shared" si="232"/>
        <v>0</v>
      </c>
      <c r="R173" s="10" t="b">
        <f t="shared" si="232"/>
        <v>0</v>
      </c>
      <c r="S173" s="10" t="b">
        <f t="shared" si="232"/>
        <v>0</v>
      </c>
      <c r="T173" s="10" t="b">
        <f t="shared" si="232"/>
        <v>0</v>
      </c>
    </row>
    <row r="174" ht="15.75" customHeight="1">
      <c r="A174" s="5">
        <v>44959.0</v>
      </c>
      <c r="B174" s="6" t="s">
        <v>64</v>
      </c>
      <c r="C174" s="5">
        <v>44956.0</v>
      </c>
      <c r="D174" s="7">
        <v>939.7</v>
      </c>
      <c r="E174" s="7">
        <v>940.7</v>
      </c>
      <c r="F174" s="8">
        <v>926.55</v>
      </c>
      <c r="G174" s="8">
        <v>924.69</v>
      </c>
      <c r="H174" s="8">
        <v>929.066666666666</v>
      </c>
      <c r="I174" s="8">
        <v>933.652857142857</v>
      </c>
      <c r="J174" s="8">
        <v>937.725</v>
      </c>
      <c r="K174" s="9">
        <f t="shared" si="222"/>
        <v>-0.01504199001</v>
      </c>
      <c r="L174" s="9">
        <f t="shared" si="223"/>
        <v>-0.01701924099</v>
      </c>
      <c r="M174" s="9">
        <f t="shared" si="224"/>
        <v>-0.0123666773</v>
      </c>
      <c r="N174" s="9">
        <f t="shared" si="225"/>
        <v>-0.007491381798</v>
      </c>
      <c r="O174" s="9">
        <f t="shared" si="226"/>
        <v>-0.003162538535</v>
      </c>
      <c r="P174" s="10" t="b">
        <f t="shared" ref="P174:T174" si="233">F174&gt;$E174</f>
        <v>0</v>
      </c>
      <c r="Q174" s="10" t="b">
        <f t="shared" si="233"/>
        <v>0</v>
      </c>
      <c r="R174" s="10" t="b">
        <f t="shared" si="233"/>
        <v>0</v>
      </c>
      <c r="S174" s="10" t="b">
        <f t="shared" si="233"/>
        <v>0</v>
      </c>
      <c r="T174" s="10" t="b">
        <f t="shared" si="233"/>
        <v>0</v>
      </c>
    </row>
    <row r="175" ht="15.75" customHeight="1">
      <c r="A175" s="5">
        <v>45071.0</v>
      </c>
      <c r="B175" s="6" t="s">
        <v>64</v>
      </c>
      <c r="C175" s="5">
        <v>45068.0</v>
      </c>
      <c r="D175" s="7">
        <v>1029.4</v>
      </c>
      <c r="E175" s="7">
        <v>1058.35</v>
      </c>
      <c r="F175" s="8">
        <v>1054.2</v>
      </c>
      <c r="G175" s="8">
        <v>1058.588</v>
      </c>
      <c r="H175" s="8">
        <v>1058.865</v>
      </c>
      <c r="I175" s="8">
        <v>1058.17857142857</v>
      </c>
      <c r="J175" s="8">
        <v>1055.81375</v>
      </c>
      <c r="K175" s="9">
        <f t="shared" si="222"/>
        <v>-0.003921198091</v>
      </c>
      <c r="L175" s="9">
        <f t="shared" si="223"/>
        <v>0.0002248783484</v>
      </c>
      <c r="M175" s="9">
        <f t="shared" si="224"/>
        <v>0.0004866065101</v>
      </c>
      <c r="N175" s="9">
        <f t="shared" si="225"/>
        <v>-0.0001619772017</v>
      </c>
      <c r="O175" s="9">
        <f t="shared" si="226"/>
        <v>-0.002396418954</v>
      </c>
      <c r="P175" s="10" t="b">
        <f t="shared" ref="P175:T175" si="234">F175&gt;$E175</f>
        <v>0</v>
      </c>
      <c r="Q175" s="10" t="b">
        <f t="shared" si="234"/>
        <v>1</v>
      </c>
      <c r="R175" s="10" t="b">
        <f t="shared" si="234"/>
        <v>1</v>
      </c>
      <c r="S175" s="10" t="b">
        <f t="shared" si="234"/>
        <v>0</v>
      </c>
      <c r="T175" s="10" t="b">
        <f t="shared" si="234"/>
        <v>0</v>
      </c>
    </row>
    <row r="176" ht="15.75" customHeight="1">
      <c r="A176" s="5">
        <v>44943.0</v>
      </c>
      <c r="B176" s="6" t="s">
        <v>65</v>
      </c>
      <c r="C176" s="5">
        <v>44942.0</v>
      </c>
      <c r="D176" s="7">
        <v>556.55</v>
      </c>
      <c r="E176" s="7">
        <v>564.4</v>
      </c>
      <c r="F176" s="8">
        <v>543.885</v>
      </c>
      <c r="G176" s="8">
        <v>541.774</v>
      </c>
      <c r="H176" s="8">
        <v>540.178333333333</v>
      </c>
      <c r="I176" s="8">
        <v>538.11</v>
      </c>
      <c r="J176" s="8">
        <v>537.851249999999</v>
      </c>
      <c r="K176" s="9">
        <f t="shared" si="222"/>
        <v>-0.03634833451</v>
      </c>
      <c r="L176" s="9">
        <f t="shared" si="223"/>
        <v>-0.04008858965</v>
      </c>
      <c r="M176" s="9">
        <f t="shared" si="224"/>
        <v>-0.04291578077</v>
      </c>
      <c r="N176" s="9">
        <f t="shared" si="225"/>
        <v>-0.0465804394</v>
      </c>
      <c r="O176" s="9">
        <f t="shared" si="226"/>
        <v>-0.04703889086</v>
      </c>
      <c r="P176" s="10" t="b">
        <f t="shared" ref="P176:T176" si="235">F176&gt;$E176</f>
        <v>0</v>
      </c>
      <c r="Q176" s="10" t="b">
        <f t="shared" si="235"/>
        <v>0</v>
      </c>
      <c r="R176" s="10" t="b">
        <f t="shared" si="235"/>
        <v>0</v>
      </c>
      <c r="S176" s="10" t="b">
        <f t="shared" si="235"/>
        <v>0</v>
      </c>
      <c r="T176" s="10" t="b">
        <f t="shared" si="235"/>
        <v>0</v>
      </c>
    </row>
    <row r="177" ht="15.75" customHeight="1">
      <c r="A177" s="5">
        <v>45072.0</v>
      </c>
      <c r="B177" s="6" t="s">
        <v>65</v>
      </c>
      <c r="C177" s="5">
        <v>45068.0</v>
      </c>
      <c r="D177" s="7">
        <v>542.1</v>
      </c>
      <c r="E177" s="7">
        <v>556.9</v>
      </c>
      <c r="F177" s="8">
        <v>562.495</v>
      </c>
      <c r="G177" s="8">
        <v>566.736</v>
      </c>
      <c r="H177" s="8">
        <v>569.011666666666</v>
      </c>
      <c r="I177" s="8">
        <v>569.938571428571</v>
      </c>
      <c r="J177" s="8">
        <v>570.3</v>
      </c>
      <c r="K177" s="9">
        <f t="shared" si="222"/>
        <v>0.01004668702</v>
      </c>
      <c r="L177" s="9">
        <f t="shared" si="223"/>
        <v>0.01766205782</v>
      </c>
      <c r="M177" s="9">
        <f t="shared" si="224"/>
        <v>0.02174836895</v>
      </c>
      <c r="N177" s="9">
        <f t="shared" si="225"/>
        <v>0.02341276967</v>
      </c>
      <c r="O177" s="9">
        <f t="shared" si="226"/>
        <v>0.02406177052</v>
      </c>
      <c r="P177" s="10" t="b">
        <f t="shared" ref="P177:T177" si="236">F177&gt;$E177</f>
        <v>1</v>
      </c>
      <c r="Q177" s="10" t="b">
        <f t="shared" si="236"/>
        <v>1</v>
      </c>
      <c r="R177" s="10" t="b">
        <f t="shared" si="236"/>
        <v>1</v>
      </c>
      <c r="S177" s="10" t="b">
        <f t="shared" si="236"/>
        <v>1</v>
      </c>
      <c r="T177" s="10" t="b">
        <f t="shared" si="236"/>
        <v>1</v>
      </c>
    </row>
    <row r="178" ht="15.75" customHeight="1">
      <c r="A178" s="5">
        <v>45091.0</v>
      </c>
      <c r="B178" s="6" t="s">
        <v>65</v>
      </c>
      <c r="C178" s="5">
        <v>45089.0</v>
      </c>
      <c r="D178" s="7">
        <v>562.35</v>
      </c>
      <c r="E178" s="7">
        <v>572.1</v>
      </c>
      <c r="F178" s="8">
        <v>576.5525</v>
      </c>
      <c r="G178" s="8">
        <v>575.336</v>
      </c>
      <c r="H178" s="8">
        <v>574.963333333333</v>
      </c>
      <c r="I178" s="8">
        <v>573.528571428571</v>
      </c>
      <c r="J178" s="8">
        <v>572.49</v>
      </c>
      <c r="K178" s="9">
        <f t="shared" si="222"/>
        <v>0.007782730292</v>
      </c>
      <c r="L178" s="9">
        <f t="shared" si="223"/>
        <v>0.005656353784</v>
      </c>
      <c r="M178" s="9">
        <f t="shared" si="224"/>
        <v>0.005004952514</v>
      </c>
      <c r="N178" s="9">
        <f t="shared" si="225"/>
        <v>0.002497065948</v>
      </c>
      <c r="O178" s="9">
        <f t="shared" si="226"/>
        <v>0.0006816990037</v>
      </c>
      <c r="P178" s="10" t="b">
        <f t="shared" ref="P178:T178" si="237">F178&gt;$E178</f>
        <v>1</v>
      </c>
      <c r="Q178" s="10" t="b">
        <f t="shared" si="237"/>
        <v>1</v>
      </c>
      <c r="R178" s="10" t="b">
        <f t="shared" si="237"/>
        <v>1</v>
      </c>
      <c r="S178" s="10" t="b">
        <f t="shared" si="237"/>
        <v>1</v>
      </c>
      <c r="T178" s="10" t="b">
        <f t="shared" si="237"/>
        <v>1</v>
      </c>
    </row>
    <row r="179" ht="15.75" customHeight="1">
      <c r="A179" s="5">
        <v>44993.0</v>
      </c>
      <c r="B179" s="6" t="s">
        <v>66</v>
      </c>
      <c r="C179" s="5">
        <v>44991.0</v>
      </c>
      <c r="D179" s="7">
        <v>861.35</v>
      </c>
      <c r="E179" s="7">
        <v>947.2</v>
      </c>
      <c r="F179" s="8">
        <v>908.4725</v>
      </c>
      <c r="G179" s="8">
        <v>911.4</v>
      </c>
      <c r="H179" s="8">
        <v>915.381666666666</v>
      </c>
      <c r="I179" s="8">
        <v>912.897142857142</v>
      </c>
      <c r="J179" s="8">
        <v>899.423749999999</v>
      </c>
      <c r="K179" s="9">
        <f t="shared" si="222"/>
        <v>-0.04088629645</v>
      </c>
      <c r="L179" s="9">
        <f t="shared" si="223"/>
        <v>-0.03779560811</v>
      </c>
      <c r="M179" s="9">
        <f t="shared" si="224"/>
        <v>-0.03359199043</v>
      </c>
      <c r="N179" s="9">
        <f t="shared" si="225"/>
        <v>-0.03621500965</v>
      </c>
      <c r="O179" s="9">
        <f t="shared" si="226"/>
        <v>-0.05043945313</v>
      </c>
      <c r="P179" s="10" t="b">
        <f t="shared" ref="P179:T179" si="238">F179&gt;$E179</f>
        <v>0</v>
      </c>
      <c r="Q179" s="10" t="b">
        <f t="shared" si="238"/>
        <v>0</v>
      </c>
      <c r="R179" s="10" t="b">
        <f t="shared" si="238"/>
        <v>0</v>
      </c>
      <c r="S179" s="10" t="b">
        <f t="shared" si="238"/>
        <v>0</v>
      </c>
      <c r="T179" s="10" t="b">
        <f t="shared" si="238"/>
        <v>0</v>
      </c>
    </row>
    <row r="180" ht="15.75" customHeight="1">
      <c r="A180" s="5">
        <v>45016.0</v>
      </c>
      <c r="B180" s="6" t="s">
        <v>67</v>
      </c>
      <c r="C180" s="5">
        <v>45012.0</v>
      </c>
      <c r="D180" s="7">
        <v>26186.95</v>
      </c>
      <c r="E180" s="7">
        <v>26000.75</v>
      </c>
      <c r="F180" s="8">
        <v>24622.36</v>
      </c>
      <c r="G180" s="8">
        <v>24619.368</v>
      </c>
      <c r="H180" s="8">
        <v>24570.08</v>
      </c>
      <c r="I180" s="8">
        <v>24638.2857142857</v>
      </c>
      <c r="J180" s="8">
        <v>24723.87875</v>
      </c>
      <c r="K180" s="9">
        <f t="shared" si="222"/>
        <v>-0.05301347077</v>
      </c>
      <c r="L180" s="9">
        <f t="shared" si="223"/>
        <v>-0.05312854437</v>
      </c>
      <c r="M180" s="9">
        <f t="shared" si="224"/>
        <v>-0.05502418199</v>
      </c>
      <c r="N180" s="9">
        <f t="shared" si="225"/>
        <v>-0.05240096096</v>
      </c>
      <c r="O180" s="9">
        <f t="shared" si="226"/>
        <v>-0.04910901609</v>
      </c>
      <c r="P180" s="10" t="b">
        <f t="shared" ref="P180:T180" si="239">F180&gt;$E180</f>
        <v>0</v>
      </c>
      <c r="Q180" s="10" t="b">
        <f t="shared" si="239"/>
        <v>0</v>
      </c>
      <c r="R180" s="10" t="b">
        <f t="shared" si="239"/>
        <v>0</v>
      </c>
      <c r="S180" s="10" t="b">
        <f t="shared" si="239"/>
        <v>0</v>
      </c>
      <c r="T180" s="10" t="b">
        <f t="shared" si="239"/>
        <v>0</v>
      </c>
    </row>
    <row r="181" ht="15.75" customHeight="1">
      <c r="A181" s="5">
        <v>44972.0</v>
      </c>
      <c r="B181" s="6" t="s">
        <v>68</v>
      </c>
      <c r="C181" s="5">
        <v>44970.0</v>
      </c>
      <c r="D181" s="7">
        <v>1241.28</v>
      </c>
      <c r="E181" s="7">
        <v>1311.12</v>
      </c>
      <c r="F181" s="8">
        <v>1349.028</v>
      </c>
      <c r="G181" s="8">
        <v>1339.7848</v>
      </c>
      <c r="H181" s="8">
        <v>1345.64266666666</v>
      </c>
      <c r="I181" s="8">
        <v>1354.86</v>
      </c>
      <c r="J181" s="8">
        <v>1360.86775</v>
      </c>
      <c r="K181" s="9">
        <f t="shared" si="222"/>
        <v>0.02891268534</v>
      </c>
      <c r="L181" s="9">
        <f t="shared" si="223"/>
        <v>0.02186283483</v>
      </c>
      <c r="M181" s="9">
        <f t="shared" si="224"/>
        <v>0.02633066894</v>
      </c>
      <c r="N181" s="9">
        <f t="shared" si="225"/>
        <v>0.03336079077</v>
      </c>
      <c r="O181" s="9">
        <f t="shared" si="226"/>
        <v>0.03794294191</v>
      </c>
      <c r="P181" s="10" t="b">
        <f t="shared" ref="P181:T181" si="240">F181&gt;$E181</f>
        <v>1</v>
      </c>
      <c r="Q181" s="10" t="b">
        <f t="shared" si="240"/>
        <v>1</v>
      </c>
      <c r="R181" s="10" t="b">
        <f t="shared" si="240"/>
        <v>1</v>
      </c>
      <c r="S181" s="10" t="b">
        <f t="shared" si="240"/>
        <v>1</v>
      </c>
      <c r="T181" s="10" t="b">
        <f t="shared" si="240"/>
        <v>1</v>
      </c>
    </row>
    <row r="182" ht="15.75" customHeight="1">
      <c r="A182" s="5">
        <v>44986.0</v>
      </c>
      <c r="B182" s="6" t="s">
        <v>68</v>
      </c>
      <c r="C182" s="5">
        <v>44984.0</v>
      </c>
      <c r="D182" s="7">
        <v>1342.12</v>
      </c>
      <c r="E182" s="7">
        <v>1431.62</v>
      </c>
      <c r="F182" s="8">
        <v>1357.3945</v>
      </c>
      <c r="G182" s="8">
        <v>1367.9484</v>
      </c>
      <c r="H182" s="8">
        <v>1373.77733333333</v>
      </c>
      <c r="I182" s="8">
        <v>1385.29685714285</v>
      </c>
      <c r="J182" s="8">
        <v>1396.28125</v>
      </c>
      <c r="K182" s="9">
        <f t="shared" si="222"/>
        <v>-0.05184720806</v>
      </c>
      <c r="L182" s="9">
        <f t="shared" si="223"/>
        <v>-0.0444752099</v>
      </c>
      <c r="M182" s="9">
        <f t="shared" si="224"/>
        <v>-0.04040364529</v>
      </c>
      <c r="N182" s="9">
        <f t="shared" si="225"/>
        <v>-0.03235714984</v>
      </c>
      <c r="O182" s="9">
        <f t="shared" si="226"/>
        <v>-0.02468444839</v>
      </c>
      <c r="P182" s="10" t="b">
        <f t="shared" ref="P182:T182" si="241">F182&gt;$E182</f>
        <v>0</v>
      </c>
      <c r="Q182" s="10" t="b">
        <f t="shared" si="241"/>
        <v>0</v>
      </c>
      <c r="R182" s="10" t="b">
        <f t="shared" si="241"/>
        <v>0</v>
      </c>
      <c r="S182" s="10" t="b">
        <f t="shared" si="241"/>
        <v>0</v>
      </c>
      <c r="T182" s="10" t="b">
        <f t="shared" si="241"/>
        <v>0</v>
      </c>
    </row>
    <row r="183" ht="15.75" customHeight="1">
      <c r="A183" s="5">
        <v>45044.0</v>
      </c>
      <c r="B183" s="6" t="s">
        <v>68</v>
      </c>
      <c r="C183" s="5">
        <v>45040.0</v>
      </c>
      <c r="D183" s="7">
        <v>1460.1</v>
      </c>
      <c r="E183" s="7">
        <v>1472.18</v>
      </c>
      <c r="F183" s="8">
        <v>1522.6365</v>
      </c>
      <c r="G183" s="8">
        <v>1567.0084</v>
      </c>
      <c r="H183" s="8">
        <v>1615.72633333333</v>
      </c>
      <c r="I183" s="8">
        <v>1655.81485714285</v>
      </c>
      <c r="J183" s="8">
        <v>1681.92075</v>
      </c>
      <c r="K183" s="9">
        <f t="shared" si="222"/>
        <v>0.03427332256</v>
      </c>
      <c r="L183" s="9">
        <f t="shared" si="223"/>
        <v>0.06441359073</v>
      </c>
      <c r="M183" s="9">
        <f t="shared" si="224"/>
        <v>0.09750596621</v>
      </c>
      <c r="N183" s="9">
        <f t="shared" si="225"/>
        <v>0.1247366879</v>
      </c>
      <c r="O183" s="9">
        <f t="shared" si="226"/>
        <v>0.142469501</v>
      </c>
      <c r="P183" s="10" t="b">
        <f t="shared" ref="P183:T183" si="242">F183&gt;$E183</f>
        <v>1</v>
      </c>
      <c r="Q183" s="10" t="b">
        <f t="shared" si="242"/>
        <v>1</v>
      </c>
      <c r="R183" s="10" t="b">
        <f t="shared" si="242"/>
        <v>1</v>
      </c>
      <c r="S183" s="10" t="b">
        <f t="shared" si="242"/>
        <v>1</v>
      </c>
      <c r="T183" s="10" t="b">
        <f t="shared" si="242"/>
        <v>1</v>
      </c>
    </row>
    <row r="184" ht="15.75" customHeight="1">
      <c r="A184" s="5">
        <v>45062.0</v>
      </c>
      <c r="B184" s="6" t="s">
        <v>68</v>
      </c>
      <c r="C184" s="5">
        <v>45061.0</v>
      </c>
      <c r="D184" s="7">
        <v>1548.38</v>
      </c>
      <c r="E184" s="7">
        <v>1549.65</v>
      </c>
      <c r="F184" s="8">
        <v>1687.3915</v>
      </c>
      <c r="G184" s="8">
        <v>1725.33559999999</v>
      </c>
      <c r="H184" s="8">
        <v>1748.90733333333</v>
      </c>
      <c r="I184" s="8">
        <v>1769.33971428571</v>
      </c>
      <c r="J184" s="8">
        <v>1788.1785</v>
      </c>
      <c r="K184" s="9">
        <f t="shared" si="222"/>
        <v>0.0888855548</v>
      </c>
      <c r="L184" s="9">
        <f t="shared" si="223"/>
        <v>0.1133711483</v>
      </c>
      <c r="M184" s="9">
        <f t="shared" si="224"/>
        <v>0.128582153</v>
      </c>
      <c r="N184" s="9">
        <f t="shared" si="225"/>
        <v>0.1417673115</v>
      </c>
      <c r="O184" s="9">
        <f t="shared" si="226"/>
        <v>0.1539241119</v>
      </c>
      <c r="P184" s="10" t="b">
        <f t="shared" ref="P184:T184" si="243">F184&gt;$E184</f>
        <v>1</v>
      </c>
      <c r="Q184" s="10" t="b">
        <f t="shared" si="243"/>
        <v>1</v>
      </c>
      <c r="R184" s="10" t="b">
        <f t="shared" si="243"/>
        <v>1</v>
      </c>
      <c r="S184" s="10" t="b">
        <f t="shared" si="243"/>
        <v>1</v>
      </c>
      <c r="T184" s="10" t="b">
        <f t="shared" si="243"/>
        <v>1</v>
      </c>
    </row>
    <row r="185" ht="15.75" customHeight="1">
      <c r="A185" s="5">
        <v>45079.0</v>
      </c>
      <c r="B185" s="6" t="s">
        <v>68</v>
      </c>
      <c r="C185" s="5">
        <v>45075.0</v>
      </c>
      <c r="D185" s="7">
        <v>1583.97</v>
      </c>
      <c r="E185" s="7">
        <v>1763.7</v>
      </c>
      <c r="F185" s="8">
        <v>1872.0925</v>
      </c>
      <c r="G185" s="8">
        <v>1882.2428</v>
      </c>
      <c r="H185" s="8">
        <v>1888.83933333333</v>
      </c>
      <c r="I185" s="8">
        <v>1895.60714285714</v>
      </c>
      <c r="J185" s="8">
        <v>1897.204</v>
      </c>
      <c r="K185" s="9">
        <f t="shared" si="222"/>
        <v>0.06145744741</v>
      </c>
      <c r="L185" s="9">
        <f t="shared" si="223"/>
        <v>0.0672125645</v>
      </c>
      <c r="M185" s="9">
        <f t="shared" si="224"/>
        <v>0.07095273195</v>
      </c>
      <c r="N185" s="9">
        <f t="shared" si="225"/>
        <v>0.07479001126</v>
      </c>
      <c r="O185" s="9">
        <f t="shared" si="226"/>
        <v>0.07569541305</v>
      </c>
      <c r="P185" s="10" t="b">
        <f t="shared" ref="P185:T185" si="244">F185&gt;$E185</f>
        <v>1</v>
      </c>
      <c r="Q185" s="10" t="b">
        <f t="shared" si="244"/>
        <v>1</v>
      </c>
      <c r="R185" s="10" t="b">
        <f t="shared" si="244"/>
        <v>1</v>
      </c>
      <c r="S185" s="10" t="b">
        <f t="shared" si="244"/>
        <v>1</v>
      </c>
      <c r="T185" s="10" t="b">
        <f t="shared" si="244"/>
        <v>1</v>
      </c>
    </row>
    <row r="186" ht="15.75" customHeight="1">
      <c r="A186" s="5">
        <v>44937.0</v>
      </c>
      <c r="B186" s="6" t="s">
        <v>69</v>
      </c>
      <c r="C186" s="5">
        <v>44935.0</v>
      </c>
      <c r="D186" s="7">
        <v>490.95</v>
      </c>
      <c r="E186" s="7">
        <v>487.9</v>
      </c>
      <c r="F186" s="8">
        <v>462.9975</v>
      </c>
      <c r="G186" s="8">
        <v>456.784</v>
      </c>
      <c r="H186" s="8">
        <v>449.845</v>
      </c>
      <c r="I186" s="8">
        <v>444.404285714285</v>
      </c>
      <c r="J186" s="8">
        <v>438.896249999999</v>
      </c>
      <c r="K186" s="9">
        <f t="shared" si="222"/>
        <v>-0.05104017217</v>
      </c>
      <c r="L186" s="9">
        <f t="shared" si="223"/>
        <v>-0.0637753638</v>
      </c>
      <c r="M186" s="9">
        <f t="shared" si="224"/>
        <v>-0.07799754048</v>
      </c>
      <c r="N186" s="9">
        <f t="shared" si="225"/>
        <v>-0.08914883026</v>
      </c>
      <c r="O186" s="9">
        <f t="shared" si="226"/>
        <v>-0.1004381021</v>
      </c>
      <c r="P186" s="10" t="b">
        <f t="shared" ref="P186:T186" si="245">F186&gt;$E186</f>
        <v>0</v>
      </c>
      <c r="Q186" s="10" t="b">
        <f t="shared" si="245"/>
        <v>0</v>
      </c>
      <c r="R186" s="10" t="b">
        <f t="shared" si="245"/>
        <v>0</v>
      </c>
      <c r="S186" s="10" t="b">
        <f t="shared" si="245"/>
        <v>0</v>
      </c>
      <c r="T186" s="10" t="b">
        <f t="shared" si="245"/>
        <v>0</v>
      </c>
    </row>
    <row r="187" ht="15.75" customHeight="1">
      <c r="A187" s="5">
        <v>45016.0</v>
      </c>
      <c r="B187" s="6" t="s">
        <v>69</v>
      </c>
      <c r="C187" s="5">
        <v>45012.0</v>
      </c>
      <c r="D187" s="7">
        <v>405.35</v>
      </c>
      <c r="E187" s="7">
        <v>411.45</v>
      </c>
      <c r="F187" s="8">
        <v>432.105</v>
      </c>
      <c r="G187" s="8">
        <v>427.941999999999</v>
      </c>
      <c r="H187" s="8">
        <v>424.556666666666</v>
      </c>
      <c r="I187" s="8">
        <v>422.668571428571</v>
      </c>
      <c r="J187" s="8">
        <v>421.95875</v>
      </c>
      <c r="K187" s="9">
        <f t="shared" si="222"/>
        <v>0.05020051039</v>
      </c>
      <c r="L187" s="9">
        <f t="shared" si="223"/>
        <v>0.04008263459</v>
      </c>
      <c r="M187" s="9">
        <f t="shared" si="224"/>
        <v>0.03185482238</v>
      </c>
      <c r="N187" s="9">
        <f t="shared" si="225"/>
        <v>0.02726594101</v>
      </c>
      <c r="O187" s="9">
        <f t="shared" si="226"/>
        <v>0.02554077045</v>
      </c>
      <c r="P187" s="10" t="b">
        <f t="shared" ref="P187:T187" si="246">F187&gt;$E187</f>
        <v>1</v>
      </c>
      <c r="Q187" s="10" t="b">
        <f t="shared" si="246"/>
        <v>1</v>
      </c>
      <c r="R187" s="10" t="b">
        <f t="shared" si="246"/>
        <v>1</v>
      </c>
      <c r="S187" s="10" t="b">
        <f t="shared" si="246"/>
        <v>1</v>
      </c>
      <c r="T187" s="10" t="b">
        <f t="shared" si="246"/>
        <v>1</v>
      </c>
    </row>
    <row r="188" ht="15.75" customHeight="1">
      <c r="A188" s="5">
        <v>45044.0</v>
      </c>
      <c r="B188" s="6" t="s">
        <v>69</v>
      </c>
      <c r="C188" s="5">
        <v>45040.0</v>
      </c>
      <c r="D188" s="7">
        <v>436.1</v>
      </c>
      <c r="E188" s="7">
        <v>434.25</v>
      </c>
      <c r="F188" s="8">
        <v>415.0125</v>
      </c>
      <c r="G188" s="8">
        <v>415.656</v>
      </c>
      <c r="H188" s="8">
        <v>416.821666666666</v>
      </c>
      <c r="I188" s="8">
        <v>417.407142857142</v>
      </c>
      <c r="J188" s="8">
        <v>417.65125</v>
      </c>
      <c r="K188" s="9">
        <f t="shared" si="222"/>
        <v>-0.04430051813</v>
      </c>
      <c r="L188" s="9">
        <f t="shared" si="223"/>
        <v>-0.04281865285</v>
      </c>
      <c r="M188" s="9">
        <f t="shared" si="224"/>
        <v>-0.04013433122</v>
      </c>
      <c r="N188" s="9">
        <f t="shared" si="225"/>
        <v>-0.03878608438</v>
      </c>
      <c r="O188" s="9">
        <f t="shared" si="226"/>
        <v>-0.03822394934</v>
      </c>
      <c r="P188" s="10" t="b">
        <f t="shared" ref="P188:T188" si="247">F188&gt;$E188</f>
        <v>0</v>
      </c>
      <c r="Q188" s="10" t="b">
        <f t="shared" si="247"/>
        <v>0</v>
      </c>
      <c r="R188" s="10" t="b">
        <f t="shared" si="247"/>
        <v>0</v>
      </c>
      <c r="S188" s="10" t="b">
        <f t="shared" si="247"/>
        <v>0</v>
      </c>
      <c r="T188" s="10" t="b">
        <f t="shared" si="247"/>
        <v>0</v>
      </c>
    </row>
    <row r="189" ht="15.75" customHeight="1">
      <c r="A189" s="5">
        <v>45120.0</v>
      </c>
      <c r="B189" s="6" t="s">
        <v>69</v>
      </c>
      <c r="C189" s="5">
        <v>45117.0</v>
      </c>
      <c r="D189" s="7">
        <v>435.2</v>
      </c>
      <c r="E189" s="7">
        <v>439.2</v>
      </c>
      <c r="F189" s="8">
        <v>453.2675</v>
      </c>
      <c r="G189" s="8">
        <v>452.894</v>
      </c>
      <c r="H189" s="8">
        <v>453.043333333333</v>
      </c>
      <c r="I189" s="11"/>
      <c r="J189" s="11"/>
      <c r="K189" s="9">
        <f t="shared" si="222"/>
        <v>0.03202982696</v>
      </c>
      <c r="L189" s="9">
        <f t="shared" si="223"/>
        <v>0.03117941712</v>
      </c>
      <c r="M189" s="9">
        <f t="shared" si="224"/>
        <v>0.03151942927</v>
      </c>
      <c r="N189" s="9"/>
      <c r="O189" s="9"/>
      <c r="P189" s="10" t="b">
        <f t="shared" ref="P189:R189" si="248">F189&gt;$E189</f>
        <v>1</v>
      </c>
      <c r="Q189" s="10" t="b">
        <f t="shared" si="248"/>
        <v>1</v>
      </c>
      <c r="R189" s="10" t="b">
        <f t="shared" si="248"/>
        <v>1</v>
      </c>
      <c r="S189" s="10"/>
      <c r="T189" s="10"/>
    </row>
    <row r="190" ht="15.75" customHeight="1">
      <c r="A190" s="5">
        <v>44964.0</v>
      </c>
      <c r="B190" s="6" t="s">
        <v>70</v>
      </c>
      <c r="C190" s="5">
        <v>44963.0</v>
      </c>
      <c r="D190" s="7">
        <v>652.05</v>
      </c>
      <c r="E190" s="7">
        <v>642.03</v>
      </c>
      <c r="F190" s="8">
        <v>656.927</v>
      </c>
      <c r="G190" s="8">
        <v>657.8296</v>
      </c>
      <c r="H190" s="8">
        <v>661.112333333333</v>
      </c>
      <c r="I190" s="8">
        <v>666.758857142857</v>
      </c>
      <c r="J190" s="8">
        <v>673.1765</v>
      </c>
      <c r="K190" s="9">
        <f t="shared" si="222"/>
        <v>0.02320296559</v>
      </c>
      <c r="L190" s="9">
        <f t="shared" si="223"/>
        <v>0.0246088189</v>
      </c>
      <c r="M190" s="9">
        <f t="shared" si="224"/>
        <v>0.02972187177</v>
      </c>
      <c r="N190" s="9">
        <f t="shared" ref="N190:N191" si="250">((I190-E190)/E190)</f>
        <v>0.03851666923</v>
      </c>
      <c r="O190" s="9">
        <f t="shared" ref="O190:O191" si="251">((J190-E190)/E190)</f>
        <v>0.04851253057</v>
      </c>
      <c r="P190" s="10" t="b">
        <f t="shared" ref="P190:T190" si="249">F190&gt;$E190</f>
        <v>1</v>
      </c>
      <c r="Q190" s="10" t="b">
        <f t="shared" si="249"/>
        <v>1</v>
      </c>
      <c r="R190" s="10" t="b">
        <f t="shared" si="249"/>
        <v>1</v>
      </c>
      <c r="S190" s="10" t="b">
        <f t="shared" si="249"/>
        <v>1</v>
      </c>
      <c r="T190" s="10" t="b">
        <f t="shared" si="249"/>
        <v>1</v>
      </c>
    </row>
    <row r="191" ht="15.75" customHeight="1">
      <c r="A191" s="5">
        <v>45072.0</v>
      </c>
      <c r="B191" s="6" t="s">
        <v>70</v>
      </c>
      <c r="C191" s="5">
        <v>45068.0</v>
      </c>
      <c r="D191" s="7">
        <v>850.97</v>
      </c>
      <c r="E191" s="7">
        <v>844.5</v>
      </c>
      <c r="F191" s="8">
        <v>811.0065</v>
      </c>
      <c r="G191" s="8">
        <v>812.127199999999</v>
      </c>
      <c r="H191" s="8">
        <v>814.937666666666</v>
      </c>
      <c r="I191" s="8">
        <v>815.250857142857</v>
      </c>
      <c r="J191" s="8">
        <v>814.1945</v>
      </c>
      <c r="K191" s="9">
        <f t="shared" si="222"/>
        <v>-0.039660746</v>
      </c>
      <c r="L191" s="9">
        <f t="shared" si="223"/>
        <v>-0.03833368857</v>
      </c>
      <c r="M191" s="9">
        <f t="shared" si="224"/>
        <v>-0.03500572331</v>
      </c>
      <c r="N191" s="9">
        <f t="shared" si="250"/>
        <v>-0.03463486425</v>
      </c>
      <c r="O191" s="9">
        <f t="shared" si="251"/>
        <v>-0.0358857312</v>
      </c>
      <c r="P191" s="10" t="b">
        <f t="shared" ref="P191:T191" si="252">F191&gt;$E191</f>
        <v>0</v>
      </c>
      <c r="Q191" s="10" t="b">
        <f t="shared" si="252"/>
        <v>0</v>
      </c>
      <c r="R191" s="10" t="b">
        <f t="shared" si="252"/>
        <v>0</v>
      </c>
      <c r="S191" s="10" t="b">
        <f t="shared" si="252"/>
        <v>0</v>
      </c>
      <c r="T191" s="10" t="b">
        <f t="shared" si="252"/>
        <v>0</v>
      </c>
    </row>
    <row r="192" ht="15.75" customHeight="1">
      <c r="A192" s="5">
        <v>45154.0</v>
      </c>
      <c r="B192" s="6" t="s">
        <v>70</v>
      </c>
      <c r="C192" s="5">
        <v>45152.0</v>
      </c>
      <c r="D192" s="7">
        <v>890.35</v>
      </c>
      <c r="E192" s="7">
        <v>906.0</v>
      </c>
      <c r="F192" s="11"/>
      <c r="G192" s="11"/>
      <c r="H192" s="11"/>
      <c r="I192" s="11"/>
      <c r="J192" s="11"/>
      <c r="K192" s="9"/>
      <c r="L192" s="9"/>
      <c r="M192" s="9"/>
      <c r="N192" s="9"/>
      <c r="O192" s="9"/>
      <c r="P192" s="10"/>
      <c r="Q192" s="10"/>
      <c r="R192" s="10"/>
      <c r="S192" s="10"/>
      <c r="T192" s="10"/>
    </row>
    <row r="193" ht="15.75" customHeight="1">
      <c r="A193" s="5">
        <v>45002.0</v>
      </c>
      <c r="B193" s="6" t="s">
        <v>71</v>
      </c>
      <c r="C193" s="5">
        <v>44998.0</v>
      </c>
      <c r="D193" s="7">
        <v>375.25</v>
      </c>
      <c r="E193" s="7">
        <v>367.65</v>
      </c>
      <c r="F193" s="8">
        <v>391.1125</v>
      </c>
      <c r="G193" s="8">
        <v>397.868</v>
      </c>
      <c r="H193" s="8">
        <v>403.643333333333</v>
      </c>
      <c r="I193" s="8">
        <v>411.855714285714</v>
      </c>
      <c r="J193" s="8">
        <v>419.39</v>
      </c>
      <c r="K193" s="9">
        <f t="shared" ref="K193:K210" si="254">((F193-E193)/E193)</f>
        <v>0.06381748946</v>
      </c>
      <c r="L193" s="9">
        <f t="shared" ref="L193:L210" si="255">((G193-E193)/E193)</f>
        <v>0.08219230246</v>
      </c>
      <c r="M193" s="9">
        <f t="shared" ref="M193:M210" si="256">((H193-E193)/E193)</f>
        <v>0.09790108346</v>
      </c>
      <c r="N193" s="9">
        <f t="shared" ref="N193:N210" si="257">((I193-E193)/E193)</f>
        <v>0.1202385809</v>
      </c>
      <c r="O193" s="9">
        <f t="shared" ref="O193:O210" si="258">((J193-E193)/E193)</f>
        <v>0.1407316741</v>
      </c>
      <c r="P193" s="10" t="b">
        <f t="shared" ref="P193:T193" si="253">F193&gt;$E193</f>
        <v>1</v>
      </c>
      <c r="Q193" s="10" t="b">
        <f t="shared" si="253"/>
        <v>1</v>
      </c>
      <c r="R193" s="10" t="b">
        <f t="shared" si="253"/>
        <v>1</v>
      </c>
      <c r="S193" s="10" t="b">
        <f t="shared" si="253"/>
        <v>1</v>
      </c>
      <c r="T193" s="10" t="b">
        <f t="shared" si="253"/>
        <v>1</v>
      </c>
    </row>
    <row r="194" ht="15.75" customHeight="1">
      <c r="A194" s="5">
        <v>45021.0</v>
      </c>
      <c r="B194" s="6" t="s">
        <v>71</v>
      </c>
      <c r="C194" s="5">
        <v>45019.0</v>
      </c>
      <c r="D194" s="7">
        <v>367.05</v>
      </c>
      <c r="E194" s="7">
        <v>406.55</v>
      </c>
      <c r="F194" s="8">
        <v>422.7725</v>
      </c>
      <c r="G194" s="8">
        <v>431.881999999999</v>
      </c>
      <c r="H194" s="8">
        <v>438.796666666666</v>
      </c>
      <c r="I194" s="8">
        <v>444.644285714285</v>
      </c>
      <c r="J194" s="8">
        <v>450.3025</v>
      </c>
      <c r="K194" s="9">
        <f t="shared" si="254"/>
        <v>0.03990284098</v>
      </c>
      <c r="L194" s="9">
        <f t="shared" si="255"/>
        <v>0.06230967901</v>
      </c>
      <c r="M194" s="9">
        <f t="shared" si="256"/>
        <v>0.07931783708</v>
      </c>
      <c r="N194" s="9">
        <f t="shared" si="257"/>
        <v>0.0937013546</v>
      </c>
      <c r="O194" s="9">
        <f t="shared" si="258"/>
        <v>0.1076189891</v>
      </c>
      <c r="P194" s="10" t="b">
        <f t="shared" ref="P194:T194" si="259">F194&gt;$E194</f>
        <v>1</v>
      </c>
      <c r="Q194" s="10" t="b">
        <f t="shared" si="259"/>
        <v>1</v>
      </c>
      <c r="R194" s="10" t="b">
        <f t="shared" si="259"/>
        <v>1</v>
      </c>
      <c r="S194" s="10" t="b">
        <f t="shared" si="259"/>
        <v>1</v>
      </c>
      <c r="T194" s="10" t="b">
        <f t="shared" si="259"/>
        <v>1</v>
      </c>
    </row>
    <row r="195" ht="15.75" customHeight="1">
      <c r="A195" s="5">
        <v>45026.0</v>
      </c>
      <c r="B195" s="6" t="s">
        <v>71</v>
      </c>
      <c r="C195" s="5">
        <v>45026.0</v>
      </c>
      <c r="D195" s="7">
        <v>405.5</v>
      </c>
      <c r="E195" s="7">
        <v>415.35</v>
      </c>
      <c r="F195" s="8">
        <v>428.3425</v>
      </c>
      <c r="G195" s="8">
        <v>436.582</v>
      </c>
      <c r="H195" s="8">
        <v>443.088333333333</v>
      </c>
      <c r="I195" s="8">
        <v>449.084285714285</v>
      </c>
      <c r="J195" s="8">
        <v>454.445</v>
      </c>
      <c r="K195" s="9">
        <f t="shared" si="254"/>
        <v>0.03128084748</v>
      </c>
      <c r="L195" s="9">
        <f t="shared" si="255"/>
        <v>0.05111833394</v>
      </c>
      <c r="M195" s="9">
        <f t="shared" si="256"/>
        <v>0.06678303439</v>
      </c>
      <c r="N195" s="9">
        <f t="shared" si="257"/>
        <v>0.08121893756</v>
      </c>
      <c r="O195" s="9">
        <f t="shared" si="258"/>
        <v>0.09412543638</v>
      </c>
      <c r="P195" s="10" t="b">
        <f t="shared" ref="P195:T195" si="260">F195&gt;$E195</f>
        <v>1</v>
      </c>
      <c r="Q195" s="10" t="b">
        <f t="shared" si="260"/>
        <v>1</v>
      </c>
      <c r="R195" s="10" t="b">
        <f t="shared" si="260"/>
        <v>1</v>
      </c>
      <c r="S195" s="10" t="b">
        <f t="shared" si="260"/>
        <v>1</v>
      </c>
      <c r="T195" s="10" t="b">
        <f t="shared" si="260"/>
        <v>1</v>
      </c>
    </row>
    <row r="196" ht="15.75" customHeight="1">
      <c r="A196" s="5">
        <v>45061.0</v>
      </c>
      <c r="B196" s="6" t="s">
        <v>71</v>
      </c>
      <c r="C196" s="5">
        <v>45061.0</v>
      </c>
      <c r="D196" s="7">
        <v>468.15</v>
      </c>
      <c r="E196" s="7">
        <v>471.9</v>
      </c>
      <c r="F196" s="8">
        <v>484.965</v>
      </c>
      <c r="G196" s="8">
        <v>484.626</v>
      </c>
      <c r="H196" s="8">
        <v>484.806666666666</v>
      </c>
      <c r="I196" s="8">
        <v>487.191428571428</v>
      </c>
      <c r="J196" s="8">
        <v>488.175</v>
      </c>
      <c r="K196" s="9">
        <f t="shared" si="254"/>
        <v>0.02768595041</v>
      </c>
      <c r="L196" s="9">
        <f t="shared" si="255"/>
        <v>0.02696757788</v>
      </c>
      <c r="M196" s="9">
        <f t="shared" si="256"/>
        <v>0.02735042735</v>
      </c>
      <c r="N196" s="9">
        <f t="shared" si="257"/>
        <v>0.03240395968</v>
      </c>
      <c r="O196" s="9">
        <f t="shared" si="258"/>
        <v>0.03448823903</v>
      </c>
      <c r="P196" s="10" t="b">
        <f t="shared" ref="P196:T196" si="261">F196&gt;$E196</f>
        <v>1</v>
      </c>
      <c r="Q196" s="10" t="b">
        <f t="shared" si="261"/>
        <v>1</v>
      </c>
      <c r="R196" s="10" t="b">
        <f t="shared" si="261"/>
        <v>1</v>
      </c>
      <c r="S196" s="10" t="b">
        <f t="shared" si="261"/>
        <v>1</v>
      </c>
      <c r="T196" s="10" t="b">
        <f t="shared" si="261"/>
        <v>1</v>
      </c>
    </row>
    <row r="197" ht="15.75" customHeight="1">
      <c r="A197" s="5">
        <v>45096.0</v>
      </c>
      <c r="B197" s="6" t="s">
        <v>72</v>
      </c>
      <c r="C197" s="5">
        <v>45096.0</v>
      </c>
      <c r="D197" s="7">
        <v>193.75</v>
      </c>
      <c r="E197" s="7">
        <v>192.2</v>
      </c>
      <c r="F197" s="8">
        <v>199.295</v>
      </c>
      <c r="G197" s="8">
        <v>199.293999999999</v>
      </c>
      <c r="H197" s="8">
        <v>198.408333333333</v>
      </c>
      <c r="I197" s="8">
        <v>197.555714285714</v>
      </c>
      <c r="J197" s="8">
        <v>196.59875</v>
      </c>
      <c r="K197" s="9">
        <f t="shared" si="254"/>
        <v>0.03691467222</v>
      </c>
      <c r="L197" s="9">
        <f t="shared" si="255"/>
        <v>0.0369094693</v>
      </c>
      <c r="M197" s="9">
        <f t="shared" si="256"/>
        <v>0.03230142213</v>
      </c>
      <c r="N197" s="9">
        <f t="shared" si="257"/>
        <v>0.02786531886</v>
      </c>
      <c r="O197" s="9">
        <f t="shared" si="258"/>
        <v>0.02288631634</v>
      </c>
      <c r="P197" s="10" t="b">
        <f t="shared" ref="P197:T197" si="262">F197&gt;$E197</f>
        <v>1</v>
      </c>
      <c r="Q197" s="10" t="b">
        <f t="shared" si="262"/>
        <v>1</v>
      </c>
      <c r="R197" s="10" t="b">
        <f t="shared" si="262"/>
        <v>1</v>
      </c>
      <c r="S197" s="10" t="b">
        <f t="shared" si="262"/>
        <v>1</v>
      </c>
      <c r="T197" s="10" t="b">
        <f t="shared" si="262"/>
        <v>1</v>
      </c>
    </row>
    <row r="198" ht="15.75" customHeight="1">
      <c r="A198" s="5">
        <v>45110.0</v>
      </c>
      <c r="B198" s="6" t="s">
        <v>72</v>
      </c>
      <c r="C198" s="5">
        <v>45110.0</v>
      </c>
      <c r="D198" s="7">
        <v>199.1</v>
      </c>
      <c r="E198" s="7">
        <v>209.0</v>
      </c>
      <c r="F198" s="8">
        <v>198.9375</v>
      </c>
      <c r="G198" s="8">
        <v>197.664</v>
      </c>
      <c r="H198" s="8">
        <v>196.32</v>
      </c>
      <c r="I198" s="8">
        <v>195.57</v>
      </c>
      <c r="J198" s="8">
        <v>195.128947368421</v>
      </c>
      <c r="K198" s="9">
        <f t="shared" si="254"/>
        <v>-0.04814593301</v>
      </c>
      <c r="L198" s="9">
        <f t="shared" si="255"/>
        <v>-0.05423923445</v>
      </c>
      <c r="M198" s="9">
        <f t="shared" si="256"/>
        <v>-0.06066985646</v>
      </c>
      <c r="N198" s="9">
        <f t="shared" si="257"/>
        <v>-0.06425837321</v>
      </c>
      <c r="O198" s="9">
        <f t="shared" si="258"/>
        <v>-0.06636867288</v>
      </c>
      <c r="P198" s="10" t="b">
        <f t="shared" ref="P198:T198" si="263">F198&gt;$E198</f>
        <v>0</v>
      </c>
      <c r="Q198" s="10" t="b">
        <f t="shared" si="263"/>
        <v>0</v>
      </c>
      <c r="R198" s="10" t="b">
        <f t="shared" si="263"/>
        <v>0</v>
      </c>
      <c r="S198" s="10" t="b">
        <f t="shared" si="263"/>
        <v>0</v>
      </c>
      <c r="T198" s="10" t="b">
        <f t="shared" si="263"/>
        <v>0</v>
      </c>
    </row>
    <row r="199" ht="15.75" customHeight="1">
      <c r="A199" s="5">
        <v>44988.0</v>
      </c>
      <c r="B199" s="6" t="s">
        <v>73</v>
      </c>
      <c r="C199" s="5">
        <v>44984.0</v>
      </c>
      <c r="D199" s="7">
        <v>1126.4</v>
      </c>
      <c r="E199" s="7">
        <v>1144.8</v>
      </c>
      <c r="F199" s="8">
        <v>1045.55499999999</v>
      </c>
      <c r="G199" s="8">
        <v>1061.53</v>
      </c>
      <c r="H199" s="8">
        <v>1072.03</v>
      </c>
      <c r="I199" s="8">
        <v>1080.53285714285</v>
      </c>
      <c r="J199" s="8">
        <v>1091.35625</v>
      </c>
      <c r="K199" s="9">
        <f t="shared" si="254"/>
        <v>-0.0866919986</v>
      </c>
      <c r="L199" s="9">
        <f t="shared" si="255"/>
        <v>-0.07273759609</v>
      </c>
      <c r="M199" s="9">
        <f t="shared" si="256"/>
        <v>-0.06356568833</v>
      </c>
      <c r="N199" s="9">
        <f t="shared" si="257"/>
        <v>-0.05613831486</v>
      </c>
      <c r="O199" s="9">
        <f t="shared" si="258"/>
        <v>-0.04668391859</v>
      </c>
      <c r="P199" s="10" t="b">
        <f t="shared" ref="P199:T199" si="264">F199&gt;$E199</f>
        <v>0</v>
      </c>
      <c r="Q199" s="10" t="b">
        <f t="shared" si="264"/>
        <v>0</v>
      </c>
      <c r="R199" s="10" t="b">
        <f t="shared" si="264"/>
        <v>0</v>
      </c>
      <c r="S199" s="10" t="b">
        <f t="shared" si="264"/>
        <v>0</v>
      </c>
      <c r="T199" s="10" t="b">
        <f t="shared" si="264"/>
        <v>0</v>
      </c>
    </row>
    <row r="200" ht="15.75" customHeight="1">
      <c r="A200" s="5">
        <v>45014.0</v>
      </c>
      <c r="B200" s="6" t="s">
        <v>73</v>
      </c>
      <c r="C200" s="5">
        <v>45012.0</v>
      </c>
      <c r="D200" s="7">
        <v>1057.1</v>
      </c>
      <c r="E200" s="7">
        <v>1082.0</v>
      </c>
      <c r="F200" s="8">
        <v>1119.6375</v>
      </c>
      <c r="G200" s="8">
        <v>1136.05</v>
      </c>
      <c r="H200" s="8">
        <v>1154.355</v>
      </c>
      <c r="I200" s="8">
        <v>1171.77285714285</v>
      </c>
      <c r="J200" s="8">
        <v>1187.12</v>
      </c>
      <c r="K200" s="9">
        <f t="shared" si="254"/>
        <v>0.03478512015</v>
      </c>
      <c r="L200" s="9">
        <f t="shared" si="255"/>
        <v>0.04995378928</v>
      </c>
      <c r="M200" s="9">
        <f t="shared" si="256"/>
        <v>0.0668715342</v>
      </c>
      <c r="N200" s="9">
        <f t="shared" si="257"/>
        <v>0.08296936889</v>
      </c>
      <c r="O200" s="9">
        <f t="shared" si="258"/>
        <v>0.09715341959</v>
      </c>
      <c r="P200" s="10" t="b">
        <f t="shared" ref="P200:T200" si="265">F200&gt;$E200</f>
        <v>1</v>
      </c>
      <c r="Q200" s="10" t="b">
        <f t="shared" si="265"/>
        <v>1</v>
      </c>
      <c r="R200" s="10" t="b">
        <f t="shared" si="265"/>
        <v>1</v>
      </c>
      <c r="S200" s="10" t="b">
        <f t="shared" si="265"/>
        <v>1</v>
      </c>
      <c r="T200" s="10" t="b">
        <f t="shared" si="265"/>
        <v>1</v>
      </c>
    </row>
    <row r="201" ht="15.75" customHeight="1">
      <c r="A201" s="5">
        <v>45055.0</v>
      </c>
      <c r="B201" s="6" t="s">
        <v>73</v>
      </c>
      <c r="C201" s="5">
        <v>45054.0</v>
      </c>
      <c r="D201" s="7">
        <v>1140.6</v>
      </c>
      <c r="E201" s="7">
        <v>1219.55</v>
      </c>
      <c r="F201" s="8">
        <v>1279.12</v>
      </c>
      <c r="G201" s="8">
        <v>1286.176</v>
      </c>
      <c r="H201" s="8">
        <v>1287.86166666666</v>
      </c>
      <c r="I201" s="8">
        <v>1296.86</v>
      </c>
      <c r="J201" s="8">
        <v>1307.1225</v>
      </c>
      <c r="K201" s="9">
        <f t="shared" si="254"/>
        <v>0.04884588578</v>
      </c>
      <c r="L201" s="9">
        <f t="shared" si="255"/>
        <v>0.05463162642</v>
      </c>
      <c r="M201" s="9">
        <f t="shared" si="256"/>
        <v>0.05601383024</v>
      </c>
      <c r="N201" s="9">
        <f t="shared" si="257"/>
        <v>0.06339223484</v>
      </c>
      <c r="O201" s="9">
        <f t="shared" si="258"/>
        <v>0.07180722398</v>
      </c>
      <c r="P201" s="10" t="b">
        <f t="shared" ref="P201:T201" si="266">F201&gt;$E201</f>
        <v>1</v>
      </c>
      <c r="Q201" s="10" t="b">
        <f t="shared" si="266"/>
        <v>1</v>
      </c>
      <c r="R201" s="10" t="b">
        <f t="shared" si="266"/>
        <v>1</v>
      </c>
      <c r="S201" s="10" t="b">
        <f t="shared" si="266"/>
        <v>1</v>
      </c>
      <c r="T201" s="10" t="b">
        <f t="shared" si="266"/>
        <v>1</v>
      </c>
    </row>
    <row r="202" ht="15.75" customHeight="1">
      <c r="A202" s="5">
        <v>45076.0</v>
      </c>
      <c r="B202" s="6" t="s">
        <v>73</v>
      </c>
      <c r="C202" s="5">
        <v>45075.0</v>
      </c>
      <c r="D202" s="7">
        <v>1293.25</v>
      </c>
      <c r="E202" s="7">
        <v>1301.8</v>
      </c>
      <c r="F202" s="8">
        <v>1319.6125</v>
      </c>
      <c r="G202" s="8">
        <v>1331.482</v>
      </c>
      <c r="H202" s="8">
        <v>1339.75166666666</v>
      </c>
      <c r="I202" s="8">
        <v>1351.30714285714</v>
      </c>
      <c r="J202" s="8">
        <v>1358.83375</v>
      </c>
      <c r="K202" s="9">
        <f t="shared" si="254"/>
        <v>0.01368297742</v>
      </c>
      <c r="L202" s="9">
        <f t="shared" si="255"/>
        <v>0.02280073744</v>
      </c>
      <c r="M202" s="9">
        <f t="shared" si="256"/>
        <v>0.02915322374</v>
      </c>
      <c r="N202" s="9">
        <f t="shared" si="257"/>
        <v>0.03802976099</v>
      </c>
      <c r="O202" s="9">
        <f t="shared" si="258"/>
        <v>0.04381145337</v>
      </c>
      <c r="P202" s="10" t="b">
        <f t="shared" ref="P202:T202" si="267">F202&gt;$E202</f>
        <v>1</v>
      </c>
      <c r="Q202" s="10" t="b">
        <f t="shared" si="267"/>
        <v>1</v>
      </c>
      <c r="R202" s="10" t="b">
        <f t="shared" si="267"/>
        <v>1</v>
      </c>
      <c r="S202" s="10" t="b">
        <f t="shared" si="267"/>
        <v>1</v>
      </c>
      <c r="T202" s="10" t="b">
        <f t="shared" si="267"/>
        <v>1</v>
      </c>
    </row>
    <row r="203" ht="15.75" customHeight="1">
      <c r="A203" s="5">
        <v>45107.0</v>
      </c>
      <c r="B203" s="6" t="s">
        <v>73</v>
      </c>
      <c r="C203" s="5">
        <v>45103.0</v>
      </c>
      <c r="D203" s="7">
        <v>1374.65</v>
      </c>
      <c r="E203" s="7">
        <v>1390.2</v>
      </c>
      <c r="F203" s="8">
        <v>1395.855</v>
      </c>
      <c r="G203" s="8">
        <v>1399.38199999999</v>
      </c>
      <c r="H203" s="8">
        <v>1396.57999999999</v>
      </c>
      <c r="I203" s="8">
        <v>1397.81857142857</v>
      </c>
      <c r="J203" s="8">
        <v>1397.53461538461</v>
      </c>
      <c r="K203" s="9">
        <f t="shared" si="254"/>
        <v>0.004067760035</v>
      </c>
      <c r="L203" s="9">
        <f t="shared" si="255"/>
        <v>0.006604805064</v>
      </c>
      <c r="M203" s="9">
        <f t="shared" si="256"/>
        <v>0.004589267731</v>
      </c>
      <c r="N203" s="9">
        <f t="shared" si="257"/>
        <v>0.005480198122</v>
      </c>
      <c r="O203" s="9">
        <f t="shared" si="258"/>
        <v>0.005275942587</v>
      </c>
      <c r="P203" s="10" t="b">
        <f t="shared" ref="P203:T203" si="268">F203&gt;$E203</f>
        <v>1</v>
      </c>
      <c r="Q203" s="10" t="b">
        <f t="shared" si="268"/>
        <v>1</v>
      </c>
      <c r="R203" s="10" t="b">
        <f t="shared" si="268"/>
        <v>1</v>
      </c>
      <c r="S203" s="10" t="b">
        <f t="shared" si="268"/>
        <v>1</v>
      </c>
      <c r="T203" s="10" t="b">
        <f t="shared" si="268"/>
        <v>1</v>
      </c>
    </row>
    <row r="204" ht="15.75" customHeight="1">
      <c r="A204" s="5">
        <v>45044.0</v>
      </c>
      <c r="B204" s="6" t="s">
        <v>74</v>
      </c>
      <c r="C204" s="5">
        <v>45040.0</v>
      </c>
      <c r="D204" s="7">
        <v>3301.1</v>
      </c>
      <c r="E204" s="7">
        <v>3355.1</v>
      </c>
      <c r="F204" s="8">
        <v>3593.38499999999</v>
      </c>
      <c r="G204" s="8">
        <v>3608.486</v>
      </c>
      <c r="H204" s="8">
        <v>3601.36833333333</v>
      </c>
      <c r="I204" s="8">
        <v>3593.37285714285</v>
      </c>
      <c r="J204" s="8">
        <v>3590.05375</v>
      </c>
      <c r="K204" s="9">
        <f t="shared" si="254"/>
        <v>0.07102172812</v>
      </c>
      <c r="L204" s="9">
        <f t="shared" si="255"/>
        <v>0.07552263718</v>
      </c>
      <c r="M204" s="9">
        <f t="shared" si="256"/>
        <v>0.07340119023</v>
      </c>
      <c r="N204" s="9">
        <f t="shared" si="257"/>
        <v>0.07101810889</v>
      </c>
      <c r="O204" s="9">
        <f t="shared" si="258"/>
        <v>0.0700288367</v>
      </c>
      <c r="P204" s="10" t="b">
        <f t="shared" ref="P204:T204" si="269">F204&gt;$E204</f>
        <v>1</v>
      </c>
      <c r="Q204" s="10" t="b">
        <f t="shared" si="269"/>
        <v>1</v>
      </c>
      <c r="R204" s="10" t="b">
        <f t="shared" si="269"/>
        <v>1</v>
      </c>
      <c r="S204" s="10" t="b">
        <f t="shared" si="269"/>
        <v>1</v>
      </c>
      <c r="T204" s="10" t="b">
        <f t="shared" si="269"/>
        <v>1</v>
      </c>
    </row>
    <row r="205" ht="15.75" customHeight="1">
      <c r="A205" s="5">
        <v>45056.0</v>
      </c>
      <c r="B205" s="6" t="s">
        <v>74</v>
      </c>
      <c r="C205" s="5">
        <v>45054.0</v>
      </c>
      <c r="D205" s="7">
        <v>3416.75</v>
      </c>
      <c r="E205" s="7">
        <v>3633.2</v>
      </c>
      <c r="F205" s="8">
        <v>3644.025</v>
      </c>
      <c r="G205" s="8">
        <v>3623.39599999999</v>
      </c>
      <c r="H205" s="8">
        <v>3611.35166666666</v>
      </c>
      <c r="I205" s="8">
        <v>3594.25142857142</v>
      </c>
      <c r="J205" s="8">
        <v>3548.10999999999</v>
      </c>
      <c r="K205" s="9">
        <f t="shared" si="254"/>
        <v>0.002979467136</v>
      </c>
      <c r="L205" s="9">
        <f t="shared" si="255"/>
        <v>-0.002698447649</v>
      </c>
      <c r="M205" s="9">
        <f t="shared" si="256"/>
        <v>-0.006013523432</v>
      </c>
      <c r="N205" s="9">
        <f t="shared" si="257"/>
        <v>-0.0107201837</v>
      </c>
      <c r="O205" s="9">
        <f t="shared" si="258"/>
        <v>-0.02342012551</v>
      </c>
      <c r="P205" s="10" t="b">
        <f t="shared" ref="P205:T205" si="270">F205&gt;$E205</f>
        <v>1</v>
      </c>
      <c r="Q205" s="10" t="b">
        <f t="shared" si="270"/>
        <v>0</v>
      </c>
      <c r="R205" s="10" t="b">
        <f t="shared" si="270"/>
        <v>0</v>
      </c>
      <c r="S205" s="10" t="b">
        <f t="shared" si="270"/>
        <v>0</v>
      </c>
      <c r="T205" s="10" t="b">
        <f t="shared" si="270"/>
        <v>0</v>
      </c>
    </row>
    <row r="206" ht="15.75" customHeight="1">
      <c r="A206" s="5">
        <v>45013.0</v>
      </c>
      <c r="B206" s="6" t="s">
        <v>75</v>
      </c>
      <c r="C206" s="5">
        <v>45012.0</v>
      </c>
      <c r="D206" s="7">
        <v>4526.8</v>
      </c>
      <c r="E206" s="7">
        <v>4682.8</v>
      </c>
      <c r="F206" s="8">
        <v>4870.5225</v>
      </c>
      <c r="G206" s="8">
        <v>4829.106</v>
      </c>
      <c r="H206" s="8">
        <v>4766.56333333333</v>
      </c>
      <c r="I206" s="8">
        <v>4730.50999999999</v>
      </c>
      <c r="J206" s="8">
        <v>4708.84625</v>
      </c>
      <c r="K206" s="9">
        <f t="shared" si="254"/>
        <v>0.04008766123</v>
      </c>
      <c r="L206" s="9">
        <f t="shared" si="255"/>
        <v>0.03124327326</v>
      </c>
      <c r="M206" s="9">
        <f t="shared" si="256"/>
        <v>0.01788744626</v>
      </c>
      <c r="N206" s="9">
        <f t="shared" si="257"/>
        <v>0.01018834885</v>
      </c>
      <c r="O206" s="9">
        <f t="shared" si="258"/>
        <v>0.005562110276</v>
      </c>
      <c r="P206" s="10" t="b">
        <f t="shared" ref="P206:T206" si="271">F206&gt;$E206</f>
        <v>1</v>
      </c>
      <c r="Q206" s="10" t="b">
        <f t="shared" si="271"/>
        <v>1</v>
      </c>
      <c r="R206" s="10" t="b">
        <f t="shared" si="271"/>
        <v>1</v>
      </c>
      <c r="S206" s="10" t="b">
        <f t="shared" si="271"/>
        <v>1</v>
      </c>
      <c r="T206" s="10" t="b">
        <f t="shared" si="271"/>
        <v>1</v>
      </c>
    </row>
    <row r="207" ht="15.75" customHeight="1">
      <c r="A207" s="5">
        <v>45026.0</v>
      </c>
      <c r="B207" s="6" t="s">
        <v>75</v>
      </c>
      <c r="C207" s="5">
        <v>45026.0</v>
      </c>
      <c r="D207" s="7">
        <v>4759.65</v>
      </c>
      <c r="E207" s="7">
        <v>4852.3</v>
      </c>
      <c r="F207" s="8">
        <v>4821.705</v>
      </c>
      <c r="G207" s="8">
        <v>4745.954</v>
      </c>
      <c r="H207" s="8">
        <v>4709.27166666666</v>
      </c>
      <c r="I207" s="8">
        <v>4690.91142857142</v>
      </c>
      <c r="J207" s="8">
        <v>4688.7375</v>
      </c>
      <c r="K207" s="9">
        <f t="shared" si="254"/>
        <v>-0.006305257301</v>
      </c>
      <c r="L207" s="9">
        <f t="shared" si="255"/>
        <v>-0.02191661686</v>
      </c>
      <c r="M207" s="9">
        <f t="shared" si="256"/>
        <v>-0.02947639951</v>
      </c>
      <c r="N207" s="9">
        <f t="shared" si="257"/>
        <v>-0.03326022122</v>
      </c>
      <c r="O207" s="9">
        <f t="shared" si="258"/>
        <v>-0.03370824145</v>
      </c>
      <c r="P207" s="10" t="b">
        <f t="shared" ref="P207:T207" si="272">F207&gt;$E207</f>
        <v>0</v>
      </c>
      <c r="Q207" s="10" t="b">
        <f t="shared" si="272"/>
        <v>0</v>
      </c>
      <c r="R207" s="10" t="b">
        <f t="shared" si="272"/>
        <v>0</v>
      </c>
      <c r="S207" s="10" t="b">
        <f t="shared" si="272"/>
        <v>0</v>
      </c>
      <c r="T207" s="10" t="b">
        <f t="shared" si="272"/>
        <v>0</v>
      </c>
    </row>
    <row r="208" ht="15.75" customHeight="1">
      <c r="A208" s="5">
        <v>45079.0</v>
      </c>
      <c r="B208" s="6" t="s">
        <v>75</v>
      </c>
      <c r="C208" s="5">
        <v>45075.0</v>
      </c>
      <c r="D208" s="7">
        <v>4610.45</v>
      </c>
      <c r="E208" s="7">
        <v>4649.4</v>
      </c>
      <c r="F208" s="8">
        <v>4958.8825</v>
      </c>
      <c r="G208" s="8">
        <v>4996.878</v>
      </c>
      <c r="H208" s="8">
        <v>5039.71833333333</v>
      </c>
      <c r="I208" s="8">
        <v>5102.12285714285</v>
      </c>
      <c r="J208" s="8">
        <v>5171.28249999999</v>
      </c>
      <c r="K208" s="9">
        <f t="shared" si="254"/>
        <v>0.06656396524</v>
      </c>
      <c r="L208" s="9">
        <f t="shared" si="255"/>
        <v>0.07473609498</v>
      </c>
      <c r="M208" s="9">
        <f t="shared" si="256"/>
        <v>0.08395025881</v>
      </c>
      <c r="N208" s="9">
        <f t="shared" si="257"/>
        <v>0.09737231839</v>
      </c>
      <c r="O208" s="9">
        <f t="shared" si="258"/>
        <v>0.1122472792</v>
      </c>
      <c r="P208" s="10" t="b">
        <f t="shared" ref="P208:T208" si="273">F208&gt;$E208</f>
        <v>1</v>
      </c>
      <c r="Q208" s="10" t="b">
        <f t="shared" si="273"/>
        <v>1</v>
      </c>
      <c r="R208" s="10" t="b">
        <f t="shared" si="273"/>
        <v>1</v>
      </c>
      <c r="S208" s="10" t="b">
        <f t="shared" si="273"/>
        <v>1</v>
      </c>
      <c r="T208" s="10" t="b">
        <f t="shared" si="273"/>
        <v>1</v>
      </c>
    </row>
    <row r="209" ht="15.75" customHeight="1">
      <c r="A209" s="5">
        <v>45092.0</v>
      </c>
      <c r="B209" s="6" t="s">
        <v>75</v>
      </c>
      <c r="C209" s="5">
        <v>45089.0</v>
      </c>
      <c r="D209" s="7">
        <v>4803.45</v>
      </c>
      <c r="E209" s="7">
        <v>4910.4</v>
      </c>
      <c r="F209" s="8">
        <v>5137.53999999999</v>
      </c>
      <c r="G209" s="8">
        <v>5193.55</v>
      </c>
      <c r="H209" s="8">
        <v>5268.30666666666</v>
      </c>
      <c r="I209" s="8">
        <v>5334.55857142857</v>
      </c>
      <c r="J209" s="8">
        <v>5399.22125</v>
      </c>
      <c r="K209" s="9">
        <f t="shared" si="254"/>
        <v>0.04625692408</v>
      </c>
      <c r="L209" s="9">
        <f t="shared" si="255"/>
        <v>0.05766332682</v>
      </c>
      <c r="M209" s="9">
        <f t="shared" si="256"/>
        <v>0.07288747692</v>
      </c>
      <c r="N209" s="9">
        <f t="shared" si="257"/>
        <v>0.08637963739</v>
      </c>
      <c r="O209" s="9">
        <f t="shared" si="258"/>
        <v>0.0995481529</v>
      </c>
      <c r="P209" s="10" t="b">
        <f t="shared" ref="P209:T209" si="274">F209&gt;$E209</f>
        <v>1</v>
      </c>
      <c r="Q209" s="10" t="b">
        <f t="shared" si="274"/>
        <v>1</v>
      </c>
      <c r="R209" s="10" t="b">
        <f t="shared" si="274"/>
        <v>1</v>
      </c>
      <c r="S209" s="10" t="b">
        <f t="shared" si="274"/>
        <v>1</v>
      </c>
      <c r="T209" s="10" t="b">
        <f t="shared" si="274"/>
        <v>1</v>
      </c>
    </row>
    <row r="210" ht="15.75" customHeight="1">
      <c r="A210" s="5">
        <v>45107.0</v>
      </c>
      <c r="B210" s="6" t="s">
        <v>75</v>
      </c>
      <c r="C210" s="5">
        <v>45103.0</v>
      </c>
      <c r="D210" s="7">
        <v>5159.6</v>
      </c>
      <c r="E210" s="7">
        <v>5231.8</v>
      </c>
      <c r="F210" s="8">
        <v>5360.33</v>
      </c>
      <c r="G210" s="8">
        <v>5434.678</v>
      </c>
      <c r="H210" s="8">
        <v>5504.20833333333</v>
      </c>
      <c r="I210" s="8">
        <v>5560.06857142857</v>
      </c>
      <c r="J210" s="8">
        <v>5573.32564102564</v>
      </c>
      <c r="K210" s="9">
        <f t="shared" si="254"/>
        <v>0.02456707061</v>
      </c>
      <c r="L210" s="9">
        <f t="shared" si="255"/>
        <v>0.03877785848</v>
      </c>
      <c r="M210" s="9">
        <f t="shared" si="256"/>
        <v>0.05206780331</v>
      </c>
      <c r="N210" s="9">
        <f t="shared" si="257"/>
        <v>0.06274486246</v>
      </c>
      <c r="O210" s="9">
        <f t="shared" si="258"/>
        <v>0.0652788029</v>
      </c>
      <c r="P210" s="10" t="b">
        <f t="shared" ref="P210:T210" si="275">F210&gt;$E210</f>
        <v>1</v>
      </c>
      <c r="Q210" s="10" t="b">
        <f t="shared" si="275"/>
        <v>1</v>
      </c>
      <c r="R210" s="10" t="b">
        <f t="shared" si="275"/>
        <v>1</v>
      </c>
      <c r="S210" s="10" t="b">
        <f t="shared" si="275"/>
        <v>1</v>
      </c>
      <c r="T210" s="10" t="b">
        <f t="shared" si="275"/>
        <v>1</v>
      </c>
    </row>
    <row r="211" ht="15.75" customHeight="1">
      <c r="A211" s="5">
        <v>45147.0</v>
      </c>
      <c r="B211" s="6" t="s">
        <v>75</v>
      </c>
      <c r="C211" s="5">
        <v>45145.0</v>
      </c>
      <c r="D211" s="7">
        <v>5871.0</v>
      </c>
      <c r="E211" s="7">
        <v>5857.85</v>
      </c>
      <c r="F211" s="11"/>
      <c r="G211" s="11"/>
      <c r="H211" s="11"/>
      <c r="I211" s="11"/>
      <c r="J211" s="11"/>
      <c r="K211" s="9"/>
      <c r="L211" s="9"/>
      <c r="M211" s="9"/>
      <c r="N211" s="9"/>
      <c r="O211" s="9"/>
      <c r="P211" s="10"/>
      <c r="Q211" s="10"/>
      <c r="R211" s="10"/>
      <c r="S211" s="10"/>
      <c r="T211" s="10"/>
    </row>
    <row r="212" ht="15.75" customHeight="1">
      <c r="A212" s="5">
        <v>45028.0</v>
      </c>
      <c r="B212" s="6" t="s">
        <v>76</v>
      </c>
      <c r="C212" s="5">
        <v>45026.0</v>
      </c>
      <c r="D212" s="7">
        <v>3212.1</v>
      </c>
      <c r="E212" s="7">
        <v>3342.6</v>
      </c>
      <c r="F212" s="8">
        <v>3269.6325</v>
      </c>
      <c r="G212" s="8">
        <v>3278.42199999999</v>
      </c>
      <c r="H212" s="8">
        <v>3312.64666666666</v>
      </c>
      <c r="I212" s="8">
        <v>3340.94285714285</v>
      </c>
      <c r="J212" s="8">
        <v>3358.8725</v>
      </c>
      <c r="K212" s="9">
        <f t="shared" ref="K212:K215" si="277">((F212-E212)/E212)</f>
        <v>-0.02182956381</v>
      </c>
      <c r="L212" s="9">
        <f t="shared" ref="L212:L215" si="278">((G212-E212)/E212)</f>
        <v>-0.01920002393</v>
      </c>
      <c r="M212" s="9">
        <f t="shared" ref="M212:M215" si="279">((H212-E212)/E212)</f>
        <v>-0.008961088175</v>
      </c>
      <c r="N212" s="9">
        <f t="shared" ref="N212:N215" si="280">((I212-E212)/E212)</f>
        <v>-0.0004957646315</v>
      </c>
      <c r="O212" s="9">
        <f t="shared" ref="O212:O215" si="281">((J212-E212)/E212)</f>
        <v>0.004868216359</v>
      </c>
      <c r="P212" s="10" t="b">
        <f t="shared" ref="P212:T212" si="276">F212&gt;$E212</f>
        <v>0</v>
      </c>
      <c r="Q212" s="10" t="b">
        <f t="shared" si="276"/>
        <v>0</v>
      </c>
      <c r="R212" s="10" t="b">
        <f t="shared" si="276"/>
        <v>0</v>
      </c>
      <c r="S212" s="10" t="b">
        <f t="shared" si="276"/>
        <v>0</v>
      </c>
      <c r="T212" s="10" t="b">
        <f t="shared" si="276"/>
        <v>1</v>
      </c>
    </row>
    <row r="213" ht="15.75" customHeight="1">
      <c r="A213" s="5">
        <v>45000.0</v>
      </c>
      <c r="B213" s="6" t="s">
        <v>77</v>
      </c>
      <c r="C213" s="5">
        <v>44998.0</v>
      </c>
      <c r="D213" s="7">
        <v>330.3</v>
      </c>
      <c r="E213" s="7">
        <v>358.55</v>
      </c>
      <c r="F213" s="8">
        <v>339.9225</v>
      </c>
      <c r="G213" s="8">
        <v>342.772</v>
      </c>
      <c r="H213" s="8">
        <v>346.621666666666</v>
      </c>
      <c r="I213" s="8">
        <v>349.272857142857</v>
      </c>
      <c r="J213" s="8">
        <v>350.9625</v>
      </c>
      <c r="K213" s="9">
        <f t="shared" si="277"/>
        <v>-0.05195230791</v>
      </c>
      <c r="L213" s="9">
        <f t="shared" si="278"/>
        <v>-0.04400502022</v>
      </c>
      <c r="M213" s="9">
        <f t="shared" si="279"/>
        <v>-0.0332682564</v>
      </c>
      <c r="N213" s="9">
        <f t="shared" si="280"/>
        <v>-0.02587405622</v>
      </c>
      <c r="O213" s="9">
        <f t="shared" si="281"/>
        <v>-0.0211616232</v>
      </c>
      <c r="P213" s="10" t="b">
        <f t="shared" ref="P213:T213" si="282">F213&gt;$E213</f>
        <v>0</v>
      </c>
      <c r="Q213" s="10" t="b">
        <f t="shared" si="282"/>
        <v>0</v>
      </c>
      <c r="R213" s="10" t="b">
        <f t="shared" si="282"/>
        <v>0</v>
      </c>
      <c r="S213" s="10" t="b">
        <f t="shared" si="282"/>
        <v>0</v>
      </c>
      <c r="T213" s="10" t="b">
        <f t="shared" si="282"/>
        <v>0</v>
      </c>
    </row>
    <row r="214" ht="15.75" customHeight="1">
      <c r="A214" s="5">
        <v>45035.0</v>
      </c>
      <c r="B214" s="6" t="s">
        <v>77</v>
      </c>
      <c r="C214" s="5">
        <v>45033.0</v>
      </c>
      <c r="D214" s="7">
        <v>342.0</v>
      </c>
      <c r="E214" s="7">
        <v>347.5</v>
      </c>
      <c r="F214" s="8">
        <v>362.7925</v>
      </c>
      <c r="G214" s="8">
        <v>362.761999999999</v>
      </c>
      <c r="H214" s="8">
        <v>362.49</v>
      </c>
      <c r="I214" s="8">
        <v>363.258571428571</v>
      </c>
      <c r="J214" s="8">
        <v>364.74375</v>
      </c>
      <c r="K214" s="9">
        <f t="shared" si="277"/>
        <v>0.04400719424</v>
      </c>
      <c r="L214" s="9">
        <f t="shared" si="278"/>
        <v>0.04391942446</v>
      </c>
      <c r="M214" s="9">
        <f t="shared" si="279"/>
        <v>0.04313669065</v>
      </c>
      <c r="N214" s="9">
        <f t="shared" si="280"/>
        <v>0.04534840699</v>
      </c>
      <c r="O214" s="9">
        <f t="shared" si="281"/>
        <v>0.04962230216</v>
      </c>
      <c r="P214" s="10" t="b">
        <f t="shared" ref="P214:T214" si="283">F214&gt;$E214</f>
        <v>1</v>
      </c>
      <c r="Q214" s="10" t="b">
        <f t="shared" si="283"/>
        <v>1</v>
      </c>
      <c r="R214" s="10" t="b">
        <f t="shared" si="283"/>
        <v>1</v>
      </c>
      <c r="S214" s="10" t="b">
        <f t="shared" si="283"/>
        <v>1</v>
      </c>
      <c r="T214" s="10" t="b">
        <f t="shared" si="283"/>
        <v>1</v>
      </c>
    </row>
    <row r="215" ht="15.75" customHeight="1">
      <c r="A215" s="5">
        <v>45050.0</v>
      </c>
      <c r="B215" s="6" t="s">
        <v>77</v>
      </c>
      <c r="C215" s="5">
        <v>45047.0</v>
      </c>
      <c r="D215" s="7">
        <v>368.35</v>
      </c>
      <c r="E215" s="7">
        <v>372.15</v>
      </c>
      <c r="F215" s="8">
        <v>362.492499999999</v>
      </c>
      <c r="G215" s="8">
        <v>363.568</v>
      </c>
      <c r="H215" s="8">
        <v>365.496666666666</v>
      </c>
      <c r="I215" s="8">
        <v>365.054285714285</v>
      </c>
      <c r="J215" s="8">
        <v>366.835</v>
      </c>
      <c r="K215" s="9">
        <f t="shared" si="277"/>
        <v>-0.02595055757</v>
      </c>
      <c r="L215" s="9">
        <f t="shared" si="278"/>
        <v>-0.02306059385</v>
      </c>
      <c r="M215" s="9">
        <f t="shared" si="279"/>
        <v>-0.01787809575</v>
      </c>
      <c r="N215" s="9">
        <f t="shared" si="280"/>
        <v>-0.01906681254</v>
      </c>
      <c r="O215" s="9">
        <f t="shared" si="281"/>
        <v>-0.01428187559</v>
      </c>
      <c r="P215" s="10" t="b">
        <f t="shared" ref="P215:T215" si="284">F215&gt;$E215</f>
        <v>0</v>
      </c>
      <c r="Q215" s="10" t="b">
        <f t="shared" si="284"/>
        <v>0</v>
      </c>
      <c r="R215" s="10" t="b">
        <f t="shared" si="284"/>
        <v>0</v>
      </c>
      <c r="S215" s="10" t="b">
        <f t="shared" si="284"/>
        <v>0</v>
      </c>
      <c r="T215" s="10" t="b">
        <f t="shared" si="284"/>
        <v>0</v>
      </c>
    </row>
    <row r="216" ht="15.75" customHeight="1">
      <c r="A216" s="5">
        <v>45160.0</v>
      </c>
      <c r="B216" s="6" t="s">
        <v>78</v>
      </c>
      <c r="C216" s="5">
        <v>45159.0</v>
      </c>
      <c r="D216" s="7">
        <v>1319.25</v>
      </c>
      <c r="E216" s="7">
        <v>1315.9</v>
      </c>
      <c r="F216" s="11"/>
      <c r="G216" s="11"/>
      <c r="H216" s="11"/>
      <c r="I216" s="11"/>
      <c r="J216" s="11"/>
      <c r="K216" s="9"/>
      <c r="L216" s="9"/>
      <c r="M216" s="9"/>
      <c r="N216" s="9"/>
      <c r="O216" s="9"/>
      <c r="P216" s="10"/>
      <c r="Q216" s="10"/>
      <c r="R216" s="10"/>
      <c r="S216" s="10"/>
      <c r="T216" s="10"/>
    </row>
    <row r="217" ht="15.75" customHeight="1">
      <c r="A217" s="5">
        <v>44993.0</v>
      </c>
      <c r="B217" s="6" t="s">
        <v>79</v>
      </c>
      <c r="C217" s="5">
        <v>44991.0</v>
      </c>
      <c r="D217" s="7">
        <v>186.6</v>
      </c>
      <c r="E217" s="7">
        <v>204.35</v>
      </c>
      <c r="F217" s="8">
        <v>192.5625</v>
      </c>
      <c r="G217" s="8">
        <v>192.934</v>
      </c>
      <c r="H217" s="8">
        <v>197.176666666666</v>
      </c>
      <c r="I217" s="8">
        <v>202.97</v>
      </c>
      <c r="J217" s="8">
        <v>207.442499999999</v>
      </c>
      <c r="K217" s="9">
        <f t="shared" ref="K217:K218" si="286">((F217-E217)/E217)</f>
        <v>-0.05768289699</v>
      </c>
      <c r="L217" s="9">
        <f t="shared" ref="L217:L218" si="287">((G217-E217)/E217)</f>
        <v>-0.05586493761</v>
      </c>
      <c r="M217" s="9">
        <f t="shared" ref="M217:M218" si="288">((H217-E217)/E217)</f>
        <v>-0.03510317266</v>
      </c>
      <c r="N217" s="9">
        <f t="shared" ref="N217:N218" si="289">((I217-E217)/E217)</f>
        <v>-0.006753119648</v>
      </c>
      <c r="O217" s="9">
        <f t="shared" ref="O217:O218" si="290">((J217-E217)/E217)</f>
        <v>0.01513334965</v>
      </c>
      <c r="P217" s="10" t="b">
        <f t="shared" ref="P217:T217" si="285">F217&gt;$E217</f>
        <v>0</v>
      </c>
      <c r="Q217" s="10" t="b">
        <f t="shared" si="285"/>
        <v>0</v>
      </c>
      <c r="R217" s="10" t="b">
        <f t="shared" si="285"/>
        <v>0</v>
      </c>
      <c r="S217" s="10" t="b">
        <f t="shared" si="285"/>
        <v>0</v>
      </c>
      <c r="T217" s="10" t="b">
        <f t="shared" si="285"/>
        <v>1</v>
      </c>
    </row>
    <row r="218" ht="15.75" customHeight="1">
      <c r="A218" s="5">
        <v>45084.0</v>
      </c>
      <c r="B218" s="6" t="s">
        <v>79</v>
      </c>
      <c r="C218" s="5">
        <v>45082.0</v>
      </c>
      <c r="D218" s="7">
        <v>274.85</v>
      </c>
      <c r="E218" s="7">
        <v>267.8</v>
      </c>
      <c r="F218" s="8">
        <v>252.5375</v>
      </c>
      <c r="G218" s="8">
        <v>250.712</v>
      </c>
      <c r="H218" s="8">
        <v>250.245</v>
      </c>
      <c r="I218" s="8">
        <v>252.374285714285</v>
      </c>
      <c r="J218" s="8">
        <v>255.428749999999</v>
      </c>
      <c r="K218" s="9">
        <f t="shared" si="286"/>
        <v>-0.05699215833</v>
      </c>
      <c r="L218" s="9">
        <f t="shared" si="287"/>
        <v>-0.06380881255</v>
      </c>
      <c r="M218" s="9">
        <f t="shared" si="288"/>
        <v>-0.06555265123</v>
      </c>
      <c r="N218" s="9">
        <f t="shared" si="289"/>
        <v>-0.05760162168</v>
      </c>
      <c r="O218" s="9">
        <f t="shared" si="290"/>
        <v>-0.04619585512</v>
      </c>
      <c r="P218" s="10" t="b">
        <f t="shared" ref="P218:T218" si="291">F218&gt;$E218</f>
        <v>0</v>
      </c>
      <c r="Q218" s="10" t="b">
        <f t="shared" si="291"/>
        <v>0</v>
      </c>
      <c r="R218" s="10" t="b">
        <f t="shared" si="291"/>
        <v>0</v>
      </c>
      <c r="S218" s="10" t="b">
        <f t="shared" si="291"/>
        <v>0</v>
      </c>
      <c r="T218" s="10" t="b">
        <f t="shared" si="291"/>
        <v>0</v>
      </c>
    </row>
    <row r="219" ht="15.75" customHeight="1">
      <c r="A219" s="5">
        <v>45141.0</v>
      </c>
      <c r="B219" s="6" t="s">
        <v>79</v>
      </c>
      <c r="C219" s="5">
        <v>45138.0</v>
      </c>
      <c r="D219" s="7">
        <v>274.85</v>
      </c>
      <c r="E219" s="7">
        <v>277.15</v>
      </c>
      <c r="F219" s="11"/>
      <c r="G219" s="11"/>
      <c r="H219" s="11"/>
      <c r="I219" s="11"/>
      <c r="J219" s="11"/>
      <c r="K219" s="9"/>
      <c r="L219" s="9"/>
      <c r="M219" s="9"/>
      <c r="N219" s="9"/>
      <c r="O219" s="9"/>
      <c r="P219" s="10"/>
      <c r="Q219" s="10"/>
      <c r="R219" s="10"/>
      <c r="S219" s="10"/>
      <c r="T219" s="10"/>
    </row>
    <row r="220" ht="15.75" customHeight="1">
      <c r="A220" s="5">
        <v>44937.0</v>
      </c>
      <c r="B220" s="6" t="s">
        <v>80</v>
      </c>
      <c r="C220" s="5">
        <v>44935.0</v>
      </c>
      <c r="D220" s="7">
        <v>2107.35</v>
      </c>
      <c r="E220" s="7">
        <v>2081.25</v>
      </c>
      <c r="F220" s="8">
        <v>2077.0775</v>
      </c>
      <c r="G220" s="8">
        <v>2035.63</v>
      </c>
      <c r="H220" s="8">
        <v>2004.90333333333</v>
      </c>
      <c r="I220" s="8">
        <v>1985.43571428571</v>
      </c>
      <c r="J220" s="8">
        <v>1970.8575</v>
      </c>
      <c r="K220" s="9">
        <f t="shared" ref="K220:K231" si="293">((F220-E220)/E220)</f>
        <v>-0.002004804805</v>
      </c>
      <c r="L220" s="9">
        <f t="shared" ref="L220:L230" si="294">((G220-E220)/E220)</f>
        <v>-0.02191951952</v>
      </c>
      <c r="M220" s="9">
        <f t="shared" ref="M220:M224" si="295">((H220-E220)/E220)</f>
        <v>-0.03668308308</v>
      </c>
      <c r="N220" s="9">
        <f t="shared" ref="N220:N224" si="296">((I220-E220)/E220)</f>
        <v>-0.04603689404</v>
      </c>
      <c r="O220" s="9">
        <f t="shared" ref="O220:O224" si="297">((J220-E220)/E220)</f>
        <v>-0.05304144144</v>
      </c>
      <c r="P220" s="10" t="b">
        <f t="shared" ref="P220:T220" si="292">F220&gt;$E220</f>
        <v>0</v>
      </c>
      <c r="Q220" s="10" t="b">
        <f t="shared" si="292"/>
        <v>0</v>
      </c>
      <c r="R220" s="10" t="b">
        <f t="shared" si="292"/>
        <v>0</v>
      </c>
      <c r="S220" s="10" t="b">
        <f t="shared" si="292"/>
        <v>0</v>
      </c>
      <c r="T220" s="10" t="b">
        <f t="shared" si="292"/>
        <v>0</v>
      </c>
    </row>
    <row r="221" ht="15.75" customHeight="1">
      <c r="A221" s="5">
        <v>45033.0</v>
      </c>
      <c r="B221" s="6" t="s">
        <v>80</v>
      </c>
      <c r="C221" s="5">
        <v>45033.0</v>
      </c>
      <c r="D221" s="7">
        <v>1937.0</v>
      </c>
      <c r="E221" s="7">
        <v>1987.65</v>
      </c>
      <c r="F221" s="8">
        <v>2168.48249999999</v>
      </c>
      <c r="G221" s="8">
        <v>2194.644</v>
      </c>
      <c r="H221" s="8">
        <v>2224.74333333333</v>
      </c>
      <c r="I221" s="8">
        <v>2254.09571428571</v>
      </c>
      <c r="J221" s="8">
        <v>2271.63125</v>
      </c>
      <c r="K221" s="9">
        <f t="shared" si="293"/>
        <v>0.09097803939</v>
      </c>
      <c r="L221" s="9">
        <f t="shared" si="294"/>
        <v>0.1041400649</v>
      </c>
      <c r="M221" s="9">
        <f t="shared" si="295"/>
        <v>0.1192832407</v>
      </c>
      <c r="N221" s="9">
        <f t="shared" si="296"/>
        <v>0.1340506197</v>
      </c>
      <c r="O221" s="9">
        <f t="shared" si="297"/>
        <v>0.1428728649</v>
      </c>
      <c r="P221" s="10" t="b">
        <f t="shared" ref="P221:T221" si="298">F221&gt;$E221</f>
        <v>1</v>
      </c>
      <c r="Q221" s="10" t="b">
        <f t="shared" si="298"/>
        <v>1</v>
      </c>
      <c r="R221" s="10" t="b">
        <f t="shared" si="298"/>
        <v>1</v>
      </c>
      <c r="S221" s="10" t="b">
        <f t="shared" si="298"/>
        <v>1</v>
      </c>
      <c r="T221" s="10" t="b">
        <f t="shared" si="298"/>
        <v>1</v>
      </c>
    </row>
    <row r="222" ht="15.75" customHeight="1">
      <c r="A222" s="5">
        <v>45048.0</v>
      </c>
      <c r="B222" s="6" t="s">
        <v>80</v>
      </c>
      <c r="C222" s="5">
        <v>45047.0</v>
      </c>
      <c r="D222" s="7">
        <v>2067.4</v>
      </c>
      <c r="E222" s="7">
        <v>2199.85</v>
      </c>
      <c r="F222" s="8">
        <v>2297.21499999999</v>
      </c>
      <c r="G222" s="8">
        <v>2323.814</v>
      </c>
      <c r="H222" s="8">
        <v>2335.575</v>
      </c>
      <c r="I222" s="8">
        <v>2354.06142857142</v>
      </c>
      <c r="J222" s="8">
        <v>2382.76125</v>
      </c>
      <c r="K222" s="9">
        <f t="shared" si="293"/>
        <v>0.0442598359</v>
      </c>
      <c r="L222" s="9">
        <f t="shared" si="294"/>
        <v>0.05635111485</v>
      </c>
      <c r="M222" s="9">
        <f t="shared" si="295"/>
        <v>0.06169738846</v>
      </c>
      <c r="N222" s="9">
        <f t="shared" si="296"/>
        <v>0.0701008835</v>
      </c>
      <c r="O222" s="9">
        <f t="shared" si="297"/>
        <v>0.0831471464</v>
      </c>
      <c r="P222" s="10" t="b">
        <f t="shared" ref="P222:T222" si="299">F222&gt;$E222</f>
        <v>1</v>
      </c>
      <c r="Q222" s="10" t="b">
        <f t="shared" si="299"/>
        <v>1</v>
      </c>
      <c r="R222" s="10" t="b">
        <f t="shared" si="299"/>
        <v>1</v>
      </c>
      <c r="S222" s="10" t="b">
        <f t="shared" si="299"/>
        <v>1</v>
      </c>
      <c r="T222" s="10" t="b">
        <f t="shared" si="299"/>
        <v>1</v>
      </c>
    </row>
    <row r="223" ht="15.75" customHeight="1">
      <c r="A223" s="5">
        <v>45079.0</v>
      </c>
      <c r="B223" s="6" t="s">
        <v>80</v>
      </c>
      <c r="C223" s="5">
        <v>45075.0</v>
      </c>
      <c r="D223" s="7">
        <v>2385.75</v>
      </c>
      <c r="E223" s="7">
        <v>2447.05</v>
      </c>
      <c r="F223" s="8">
        <v>2503.65</v>
      </c>
      <c r="G223" s="8">
        <v>2540.73</v>
      </c>
      <c r="H223" s="8">
        <v>2565.285</v>
      </c>
      <c r="I223" s="8">
        <v>2569.15142857142</v>
      </c>
      <c r="J223" s="8">
        <v>2565.2475</v>
      </c>
      <c r="K223" s="9">
        <f t="shared" si="293"/>
        <v>0.02312989109</v>
      </c>
      <c r="L223" s="9">
        <f t="shared" si="294"/>
        <v>0.03828283035</v>
      </c>
      <c r="M223" s="9">
        <f t="shared" si="295"/>
        <v>0.04831736172</v>
      </c>
      <c r="N223" s="9">
        <f t="shared" si="296"/>
        <v>0.04989739833</v>
      </c>
      <c r="O223" s="9">
        <f t="shared" si="297"/>
        <v>0.04830203715</v>
      </c>
      <c r="P223" s="10" t="b">
        <f t="shared" ref="P223:T223" si="300">F223&gt;$E223</f>
        <v>1</v>
      </c>
      <c r="Q223" s="10" t="b">
        <f t="shared" si="300"/>
        <v>1</v>
      </c>
      <c r="R223" s="10" t="b">
        <f t="shared" si="300"/>
        <v>1</v>
      </c>
      <c r="S223" s="10" t="b">
        <f t="shared" si="300"/>
        <v>1</v>
      </c>
      <c r="T223" s="10" t="b">
        <f t="shared" si="300"/>
        <v>1</v>
      </c>
    </row>
    <row r="224" ht="15.75" customHeight="1">
      <c r="A224" s="5">
        <v>45071.0</v>
      </c>
      <c r="B224" s="6" t="s">
        <v>81</v>
      </c>
      <c r="C224" s="5">
        <v>45068.0</v>
      </c>
      <c r="D224" s="7">
        <v>945.45</v>
      </c>
      <c r="E224" s="7">
        <v>953.05</v>
      </c>
      <c r="F224" s="8">
        <v>987.8175</v>
      </c>
      <c r="G224" s="8">
        <v>992.68</v>
      </c>
      <c r="H224" s="8">
        <v>997.501666666666</v>
      </c>
      <c r="I224" s="8">
        <v>1003.19285714285</v>
      </c>
      <c r="J224" s="8">
        <v>1012.60875</v>
      </c>
      <c r="K224" s="9">
        <f t="shared" si="293"/>
        <v>0.03648024763</v>
      </c>
      <c r="L224" s="9">
        <f t="shared" si="294"/>
        <v>0.04158228844</v>
      </c>
      <c r="M224" s="9">
        <f t="shared" si="295"/>
        <v>0.04664148436</v>
      </c>
      <c r="N224" s="9">
        <f t="shared" si="296"/>
        <v>0.05261303934</v>
      </c>
      <c r="O224" s="9">
        <f t="shared" si="297"/>
        <v>0.06249278632</v>
      </c>
      <c r="P224" s="10" t="b">
        <f t="shared" ref="P224:T224" si="301">F224&gt;$E224</f>
        <v>1</v>
      </c>
      <c r="Q224" s="10" t="b">
        <f t="shared" si="301"/>
        <v>1</v>
      </c>
      <c r="R224" s="10" t="b">
        <f t="shared" si="301"/>
        <v>1</v>
      </c>
      <c r="S224" s="10" t="b">
        <f t="shared" si="301"/>
        <v>1</v>
      </c>
      <c r="T224" s="10" t="b">
        <f t="shared" si="301"/>
        <v>1</v>
      </c>
    </row>
    <row r="225" ht="15.75" customHeight="1">
      <c r="A225" s="5">
        <v>45127.0</v>
      </c>
      <c r="B225" s="6" t="s">
        <v>81</v>
      </c>
      <c r="C225" s="5">
        <v>45124.0</v>
      </c>
      <c r="D225" s="7">
        <v>1056.55</v>
      </c>
      <c r="E225" s="7">
        <v>1068.5</v>
      </c>
      <c r="F225" s="8">
        <v>1218.715</v>
      </c>
      <c r="G225" s="8">
        <v>1221.444</v>
      </c>
      <c r="H225" s="11"/>
      <c r="I225" s="11"/>
      <c r="J225" s="11"/>
      <c r="K225" s="9">
        <f t="shared" si="293"/>
        <v>0.1405849321</v>
      </c>
      <c r="L225" s="9">
        <f t="shared" si="294"/>
        <v>0.1431389799</v>
      </c>
      <c r="M225" s="9"/>
      <c r="N225" s="9"/>
      <c r="O225" s="9"/>
      <c r="P225" s="10" t="b">
        <f t="shared" ref="P225:Q225" si="302">F225&gt;$E225</f>
        <v>1</v>
      </c>
      <c r="Q225" s="10" t="b">
        <f t="shared" si="302"/>
        <v>1</v>
      </c>
      <c r="R225" s="10"/>
      <c r="S225" s="10"/>
      <c r="T225" s="10"/>
    </row>
    <row r="226" ht="15.75" customHeight="1">
      <c r="A226" s="5">
        <v>45021.0</v>
      </c>
      <c r="B226" s="6" t="s">
        <v>82</v>
      </c>
      <c r="C226" s="5">
        <v>45019.0</v>
      </c>
      <c r="D226" s="7">
        <v>379.95</v>
      </c>
      <c r="E226" s="7">
        <v>396.05</v>
      </c>
      <c r="F226" s="8">
        <v>392.31</v>
      </c>
      <c r="G226" s="8">
        <v>394.488</v>
      </c>
      <c r="H226" s="8">
        <v>399.315</v>
      </c>
      <c r="I226" s="8">
        <v>403.664285714285</v>
      </c>
      <c r="J226" s="8">
        <v>409.739999999999</v>
      </c>
      <c r="K226" s="9">
        <f t="shared" si="293"/>
        <v>-0.009443252115</v>
      </c>
      <c r="L226" s="9">
        <f t="shared" si="294"/>
        <v>-0.003943946471</v>
      </c>
      <c r="M226" s="9">
        <f t="shared" ref="M226:M230" si="304">((H226-E226)/E226)</f>
        <v>0.008243908597</v>
      </c>
      <c r="N226" s="9">
        <f t="shared" ref="N226:N230" si="305">((I226-E226)/E226)</f>
        <v>0.01922556676</v>
      </c>
      <c r="O226" s="9">
        <f t="shared" ref="O226:O230" si="306">((J226-E226)/E226)</f>
        <v>0.03456634263</v>
      </c>
      <c r="P226" s="10" t="b">
        <f t="shared" ref="P226:T226" si="303">F226&gt;$E226</f>
        <v>0</v>
      </c>
      <c r="Q226" s="10" t="b">
        <f t="shared" si="303"/>
        <v>0</v>
      </c>
      <c r="R226" s="10" t="b">
        <f t="shared" si="303"/>
        <v>1</v>
      </c>
      <c r="S226" s="10" t="b">
        <f t="shared" si="303"/>
        <v>1</v>
      </c>
      <c r="T226" s="10" t="b">
        <f t="shared" si="303"/>
        <v>1</v>
      </c>
    </row>
    <row r="227" ht="15.75" customHeight="1">
      <c r="A227" s="5">
        <v>45068.0</v>
      </c>
      <c r="B227" s="6" t="s">
        <v>82</v>
      </c>
      <c r="C227" s="5">
        <v>45068.0</v>
      </c>
      <c r="D227" s="7">
        <v>423.9</v>
      </c>
      <c r="E227" s="7">
        <v>424.55</v>
      </c>
      <c r="F227" s="8">
        <v>446.49</v>
      </c>
      <c r="G227" s="8">
        <v>443.652</v>
      </c>
      <c r="H227" s="8">
        <v>440.843333333333</v>
      </c>
      <c r="I227" s="8">
        <v>437.619999999999</v>
      </c>
      <c r="J227" s="8">
        <v>435.29875</v>
      </c>
      <c r="K227" s="9">
        <f t="shared" si="293"/>
        <v>0.05167824756</v>
      </c>
      <c r="L227" s="9">
        <f t="shared" si="294"/>
        <v>0.04499352255</v>
      </c>
      <c r="M227" s="9">
        <f t="shared" si="304"/>
        <v>0.03837789032</v>
      </c>
      <c r="N227" s="9">
        <f t="shared" si="305"/>
        <v>0.03078553763</v>
      </c>
      <c r="O227" s="9">
        <f t="shared" si="306"/>
        <v>0.02531798375</v>
      </c>
      <c r="P227" s="10" t="b">
        <f t="shared" ref="P227:T227" si="307">F227&gt;$E227</f>
        <v>1</v>
      </c>
      <c r="Q227" s="10" t="b">
        <f t="shared" si="307"/>
        <v>1</v>
      </c>
      <c r="R227" s="10" t="b">
        <f t="shared" si="307"/>
        <v>1</v>
      </c>
      <c r="S227" s="10" t="b">
        <f t="shared" si="307"/>
        <v>1</v>
      </c>
      <c r="T227" s="10" t="b">
        <f t="shared" si="307"/>
        <v>1</v>
      </c>
    </row>
    <row r="228" ht="15.75" customHeight="1">
      <c r="A228" s="5">
        <v>45083.0</v>
      </c>
      <c r="B228" s="6" t="s">
        <v>82</v>
      </c>
      <c r="C228" s="5">
        <v>45082.0</v>
      </c>
      <c r="D228" s="7">
        <v>459.15</v>
      </c>
      <c r="E228" s="7">
        <v>456.3</v>
      </c>
      <c r="F228" s="8">
        <v>438.93</v>
      </c>
      <c r="G228" s="8">
        <v>434.658</v>
      </c>
      <c r="H228" s="8">
        <v>432.853333333333</v>
      </c>
      <c r="I228" s="8">
        <v>435.948571428571</v>
      </c>
      <c r="J228" s="8">
        <v>440.1375</v>
      </c>
      <c r="K228" s="9">
        <f t="shared" si="293"/>
        <v>-0.03806706114</v>
      </c>
      <c r="L228" s="9">
        <f t="shared" si="294"/>
        <v>-0.04742932281</v>
      </c>
      <c r="M228" s="9">
        <f t="shared" si="304"/>
        <v>-0.05138432318</v>
      </c>
      <c r="N228" s="9">
        <f t="shared" si="305"/>
        <v>-0.04460098306</v>
      </c>
      <c r="O228" s="9">
        <f t="shared" si="306"/>
        <v>-0.03542077581</v>
      </c>
      <c r="P228" s="10" t="b">
        <f t="shared" ref="P228:T228" si="308">F228&gt;$E228</f>
        <v>0</v>
      </c>
      <c r="Q228" s="10" t="b">
        <f t="shared" si="308"/>
        <v>0</v>
      </c>
      <c r="R228" s="10" t="b">
        <f t="shared" si="308"/>
        <v>0</v>
      </c>
      <c r="S228" s="10" t="b">
        <f t="shared" si="308"/>
        <v>0</v>
      </c>
      <c r="T228" s="10" t="b">
        <f t="shared" si="308"/>
        <v>0</v>
      </c>
    </row>
    <row r="229" ht="15.75" customHeight="1">
      <c r="A229" s="5">
        <v>45037.0</v>
      </c>
      <c r="B229" s="6" t="s">
        <v>83</v>
      </c>
      <c r="C229" s="5">
        <v>45033.0</v>
      </c>
      <c r="D229" s="7">
        <v>2477.0</v>
      </c>
      <c r="E229" s="7">
        <v>2495.5</v>
      </c>
      <c r="F229" s="8">
        <v>2516.92</v>
      </c>
      <c r="G229" s="8">
        <v>2516.51</v>
      </c>
      <c r="H229" s="8">
        <v>2516.30166666666</v>
      </c>
      <c r="I229" s="8">
        <v>2493.91285714285</v>
      </c>
      <c r="J229" s="8">
        <v>2479.38499999999</v>
      </c>
      <c r="K229" s="9">
        <f t="shared" si="293"/>
        <v>0.00858345021</v>
      </c>
      <c r="L229" s="9">
        <f t="shared" si="294"/>
        <v>0.008419154478</v>
      </c>
      <c r="M229" s="9">
        <f t="shared" si="304"/>
        <v>0.008335670874</v>
      </c>
      <c r="N229" s="9">
        <f t="shared" si="305"/>
        <v>-0.0006360019464</v>
      </c>
      <c r="O229" s="9">
        <f t="shared" si="306"/>
        <v>-0.006457623723</v>
      </c>
      <c r="P229" s="10" t="b">
        <f t="shared" ref="P229:T229" si="309">F229&gt;$E229</f>
        <v>1</v>
      </c>
      <c r="Q229" s="10" t="b">
        <f t="shared" si="309"/>
        <v>1</v>
      </c>
      <c r="R229" s="10" t="b">
        <f t="shared" si="309"/>
        <v>1</v>
      </c>
      <c r="S229" s="10" t="b">
        <f t="shared" si="309"/>
        <v>0</v>
      </c>
      <c r="T229" s="10" t="b">
        <f t="shared" si="309"/>
        <v>0</v>
      </c>
    </row>
    <row r="230" ht="15.75" customHeight="1">
      <c r="A230" s="5">
        <v>45044.0</v>
      </c>
      <c r="B230" s="6" t="s">
        <v>83</v>
      </c>
      <c r="C230" s="5">
        <v>45040.0</v>
      </c>
      <c r="D230" s="7">
        <v>2540.25</v>
      </c>
      <c r="E230" s="7">
        <v>2529.7</v>
      </c>
      <c r="F230" s="8">
        <v>2508.55</v>
      </c>
      <c r="G230" s="8">
        <v>2509.892</v>
      </c>
      <c r="H230" s="8">
        <v>2484.83999999999</v>
      </c>
      <c r="I230" s="8">
        <v>2469.53285714285</v>
      </c>
      <c r="J230" s="8">
        <v>2448.81875</v>
      </c>
      <c r="K230" s="9">
        <f t="shared" si="293"/>
        <v>-0.008360675179</v>
      </c>
      <c r="L230" s="9">
        <f t="shared" si="294"/>
        <v>-0.007830177491</v>
      </c>
      <c r="M230" s="9">
        <f t="shared" si="304"/>
        <v>-0.01773332806</v>
      </c>
      <c r="N230" s="9">
        <f t="shared" si="305"/>
        <v>-0.02378429966</v>
      </c>
      <c r="O230" s="9">
        <f t="shared" si="306"/>
        <v>-0.03197266474</v>
      </c>
      <c r="P230" s="10" t="b">
        <f t="shared" ref="P230:T230" si="310">F230&gt;$E230</f>
        <v>0</v>
      </c>
      <c r="Q230" s="10" t="b">
        <f t="shared" si="310"/>
        <v>0</v>
      </c>
      <c r="R230" s="10" t="b">
        <f t="shared" si="310"/>
        <v>0</v>
      </c>
      <c r="S230" s="10" t="b">
        <f t="shared" si="310"/>
        <v>0</v>
      </c>
      <c r="T230" s="10" t="b">
        <f t="shared" si="310"/>
        <v>0</v>
      </c>
    </row>
    <row r="231" ht="15.75" customHeight="1">
      <c r="A231" s="5">
        <v>45140.0</v>
      </c>
      <c r="B231" s="6" t="s">
        <v>83</v>
      </c>
      <c r="C231" s="5">
        <v>45138.0</v>
      </c>
      <c r="D231" s="7">
        <v>2265.4</v>
      </c>
      <c r="E231" s="7">
        <v>2277.95</v>
      </c>
      <c r="F231" s="8">
        <v>2312.6375</v>
      </c>
      <c r="G231" s="11"/>
      <c r="H231" s="11"/>
      <c r="I231" s="11"/>
      <c r="J231" s="11"/>
      <c r="K231" s="9">
        <f t="shared" si="293"/>
        <v>0.01522750719</v>
      </c>
      <c r="L231" s="9"/>
      <c r="M231" s="9"/>
      <c r="N231" s="9"/>
      <c r="O231" s="9"/>
      <c r="P231" s="10" t="b">
        <f>F231&gt;$E231</f>
        <v>1</v>
      </c>
      <c r="Q231" s="10"/>
      <c r="R231" s="10"/>
      <c r="S231" s="10"/>
      <c r="T231" s="10"/>
    </row>
    <row r="232" ht="15.75" customHeight="1">
      <c r="A232" s="5">
        <v>45167.0</v>
      </c>
      <c r="B232" s="6" t="s">
        <v>83</v>
      </c>
      <c r="C232" s="5">
        <v>45166.0</v>
      </c>
      <c r="D232" s="7">
        <v>2374.35</v>
      </c>
      <c r="E232" s="12"/>
      <c r="F232" s="11"/>
      <c r="G232" s="11"/>
      <c r="H232" s="11"/>
      <c r="I232" s="11"/>
      <c r="J232" s="11"/>
      <c r="K232" s="9"/>
      <c r="L232" s="9"/>
      <c r="M232" s="9"/>
      <c r="N232" s="9"/>
      <c r="O232" s="9"/>
      <c r="P232" s="10"/>
      <c r="Q232" s="10"/>
      <c r="R232" s="10"/>
      <c r="S232" s="10"/>
      <c r="T232" s="10"/>
    </row>
    <row r="233" ht="15.75" customHeight="1">
      <c r="A233" s="5">
        <v>45041.0</v>
      </c>
      <c r="B233" s="6" t="s">
        <v>84</v>
      </c>
      <c r="C233" s="5">
        <v>45040.0</v>
      </c>
      <c r="D233" s="7">
        <v>3336.1</v>
      </c>
      <c r="E233" s="7">
        <v>3442.15</v>
      </c>
      <c r="F233" s="8">
        <v>3861.4025</v>
      </c>
      <c r="G233" s="8">
        <v>3896.43199999999</v>
      </c>
      <c r="H233" s="8">
        <v>3943.22166666666</v>
      </c>
      <c r="I233" s="8">
        <v>4000.02</v>
      </c>
      <c r="J233" s="8">
        <v>4036.43</v>
      </c>
      <c r="K233" s="9">
        <f t="shared" ref="K233:K238" si="312">((F233-E233)/E233)</f>
        <v>0.121799602</v>
      </c>
      <c r="L233" s="9">
        <f t="shared" ref="L233:L238" si="313">((G233-E233)/E233)</f>
        <v>0.1319762358</v>
      </c>
      <c r="M233" s="9">
        <f t="shared" ref="M233:M238" si="314">((H233-E233)/E233)</f>
        <v>0.1455693873</v>
      </c>
      <c r="N233" s="9">
        <f t="shared" ref="N233:N238" si="315">((I233-E233)/E233)</f>
        <v>0.1620702177</v>
      </c>
      <c r="O233" s="9">
        <f t="shared" ref="O233:O238" si="316">((J233-E233)/E233)</f>
        <v>0.172647909</v>
      </c>
      <c r="P233" s="10" t="b">
        <f t="shared" ref="P233:T233" si="311">F233&gt;$E233</f>
        <v>1</v>
      </c>
      <c r="Q233" s="10" t="b">
        <f t="shared" si="311"/>
        <v>1</v>
      </c>
      <c r="R233" s="10" t="b">
        <f t="shared" si="311"/>
        <v>1</v>
      </c>
      <c r="S233" s="10" t="b">
        <f t="shared" si="311"/>
        <v>1</v>
      </c>
      <c r="T233" s="10" t="b">
        <f t="shared" si="311"/>
        <v>1</v>
      </c>
    </row>
    <row r="234" ht="15.75" customHeight="1">
      <c r="A234" s="5">
        <v>45050.0</v>
      </c>
      <c r="B234" s="6" t="s">
        <v>84</v>
      </c>
      <c r="C234" s="5">
        <v>45047.0</v>
      </c>
      <c r="D234" s="7">
        <v>3645.35</v>
      </c>
      <c r="E234" s="7">
        <v>3815.45</v>
      </c>
      <c r="F234" s="8">
        <v>3965.95</v>
      </c>
      <c r="G234" s="8">
        <v>4016.144</v>
      </c>
      <c r="H234" s="8">
        <v>4070.80833333333</v>
      </c>
      <c r="I234" s="8">
        <v>4100.25142857142</v>
      </c>
      <c r="J234" s="8">
        <v>4137.3625</v>
      </c>
      <c r="K234" s="9">
        <f t="shared" si="312"/>
        <v>0.03944488855</v>
      </c>
      <c r="L234" s="9">
        <f t="shared" si="313"/>
        <v>0.05260034858</v>
      </c>
      <c r="M234" s="9">
        <f t="shared" si="314"/>
        <v>0.06692744849</v>
      </c>
      <c r="N234" s="9">
        <f t="shared" si="315"/>
        <v>0.07464425653</v>
      </c>
      <c r="O234" s="9">
        <f t="shared" si="316"/>
        <v>0.08437078195</v>
      </c>
      <c r="P234" s="10" t="b">
        <f t="shared" ref="P234:T234" si="317">F234&gt;$E234</f>
        <v>1</v>
      </c>
      <c r="Q234" s="10" t="b">
        <f t="shared" si="317"/>
        <v>1</v>
      </c>
      <c r="R234" s="10" t="b">
        <f t="shared" si="317"/>
        <v>1</v>
      </c>
      <c r="S234" s="10" t="b">
        <f t="shared" si="317"/>
        <v>1</v>
      </c>
      <c r="T234" s="10" t="b">
        <f t="shared" si="317"/>
        <v>1</v>
      </c>
    </row>
    <row r="235" ht="15.75" customHeight="1">
      <c r="A235" s="5">
        <v>45090.0</v>
      </c>
      <c r="B235" s="6" t="s">
        <v>84</v>
      </c>
      <c r="C235" s="5">
        <v>45089.0</v>
      </c>
      <c r="D235" s="7">
        <v>4319.8</v>
      </c>
      <c r="E235" s="7">
        <v>4327.65</v>
      </c>
      <c r="F235" s="8">
        <v>4380.535</v>
      </c>
      <c r="G235" s="8">
        <v>4367.566</v>
      </c>
      <c r="H235" s="8">
        <v>4385.88</v>
      </c>
      <c r="I235" s="8">
        <v>4394.22857142857</v>
      </c>
      <c r="J235" s="8">
        <v>4400.13125</v>
      </c>
      <c r="K235" s="9">
        <f t="shared" si="312"/>
        <v>0.01222025811</v>
      </c>
      <c r="L235" s="9">
        <f t="shared" si="313"/>
        <v>0.009223481566</v>
      </c>
      <c r="M235" s="9">
        <f t="shared" si="314"/>
        <v>0.0134553395</v>
      </c>
      <c r="N235" s="9">
        <f t="shared" si="315"/>
        <v>0.01538446303</v>
      </c>
      <c r="O235" s="9">
        <f t="shared" si="316"/>
        <v>0.01674840849</v>
      </c>
      <c r="P235" s="10" t="b">
        <f t="shared" ref="P235:T235" si="318">F235&gt;$E235</f>
        <v>1</v>
      </c>
      <c r="Q235" s="10" t="b">
        <f t="shared" si="318"/>
        <v>1</v>
      </c>
      <c r="R235" s="10" t="b">
        <f t="shared" si="318"/>
        <v>1</v>
      </c>
      <c r="S235" s="10" t="b">
        <f t="shared" si="318"/>
        <v>1</v>
      </c>
      <c r="T235" s="10" t="b">
        <f t="shared" si="318"/>
        <v>1</v>
      </c>
    </row>
    <row r="236" ht="15.75" customHeight="1">
      <c r="A236" s="5">
        <v>45016.0</v>
      </c>
      <c r="B236" s="6" t="s">
        <v>85</v>
      </c>
      <c r="C236" s="5">
        <v>45012.0</v>
      </c>
      <c r="D236" s="7">
        <v>97.55</v>
      </c>
      <c r="E236" s="7">
        <v>99.9</v>
      </c>
      <c r="F236" s="8">
        <v>103.4775</v>
      </c>
      <c r="G236" s="8">
        <v>104.392</v>
      </c>
      <c r="H236" s="8">
        <v>105.058333333333</v>
      </c>
      <c r="I236" s="8">
        <v>105.911428571428</v>
      </c>
      <c r="J236" s="8">
        <v>107.121249999999</v>
      </c>
      <c r="K236" s="9">
        <f t="shared" si="312"/>
        <v>0.03581081081</v>
      </c>
      <c r="L236" s="9">
        <f t="shared" si="313"/>
        <v>0.04496496496</v>
      </c>
      <c r="M236" s="9">
        <f t="shared" si="314"/>
        <v>0.0516349683</v>
      </c>
      <c r="N236" s="9">
        <f t="shared" si="315"/>
        <v>0.06017446017</v>
      </c>
      <c r="O236" s="9">
        <f t="shared" si="316"/>
        <v>0.07228478478</v>
      </c>
      <c r="P236" s="10" t="b">
        <f t="shared" ref="P236:T236" si="319">F236&gt;$E236</f>
        <v>1</v>
      </c>
      <c r="Q236" s="10" t="b">
        <f t="shared" si="319"/>
        <v>1</v>
      </c>
      <c r="R236" s="10" t="b">
        <f t="shared" si="319"/>
        <v>1</v>
      </c>
      <c r="S236" s="10" t="b">
        <f t="shared" si="319"/>
        <v>1</v>
      </c>
      <c r="T236" s="10" t="b">
        <f t="shared" si="319"/>
        <v>1</v>
      </c>
    </row>
    <row r="237" ht="15.75" customHeight="1">
      <c r="A237" s="5">
        <v>45049.0</v>
      </c>
      <c r="B237" s="6" t="s">
        <v>85</v>
      </c>
      <c r="C237" s="5">
        <v>45047.0</v>
      </c>
      <c r="D237" s="7">
        <v>106.35</v>
      </c>
      <c r="E237" s="7">
        <v>107.55</v>
      </c>
      <c r="F237" s="8">
        <v>110.265</v>
      </c>
      <c r="G237" s="8">
        <v>112.098</v>
      </c>
      <c r="H237" s="8">
        <v>114.033333333333</v>
      </c>
      <c r="I237" s="8">
        <v>115.06</v>
      </c>
      <c r="J237" s="8">
        <v>115.97</v>
      </c>
      <c r="K237" s="9">
        <f t="shared" si="312"/>
        <v>0.02524407252</v>
      </c>
      <c r="L237" s="9">
        <f t="shared" si="313"/>
        <v>0.04228730823</v>
      </c>
      <c r="M237" s="9">
        <f t="shared" si="314"/>
        <v>0.06028203936</v>
      </c>
      <c r="N237" s="9">
        <f t="shared" si="315"/>
        <v>0.06982798698</v>
      </c>
      <c r="O237" s="9">
        <f t="shared" si="316"/>
        <v>0.07828916783</v>
      </c>
      <c r="P237" s="10" t="b">
        <f t="shared" ref="P237:T237" si="320">F237&gt;$E237</f>
        <v>1</v>
      </c>
      <c r="Q237" s="10" t="b">
        <f t="shared" si="320"/>
        <v>1</v>
      </c>
      <c r="R237" s="10" t="b">
        <f t="shared" si="320"/>
        <v>1</v>
      </c>
      <c r="S237" s="10" t="b">
        <f t="shared" si="320"/>
        <v>1</v>
      </c>
      <c r="T237" s="10" t="b">
        <f t="shared" si="320"/>
        <v>1</v>
      </c>
    </row>
    <row r="238" ht="15.75" customHeight="1">
      <c r="A238" s="5">
        <v>45082.0</v>
      </c>
      <c r="B238" s="6" t="s">
        <v>85</v>
      </c>
      <c r="C238" s="5">
        <v>45082.0</v>
      </c>
      <c r="D238" s="7">
        <v>115.65</v>
      </c>
      <c r="E238" s="7">
        <v>120.35</v>
      </c>
      <c r="F238" s="8">
        <v>122.47</v>
      </c>
      <c r="G238" s="8">
        <v>123.37</v>
      </c>
      <c r="H238" s="8">
        <v>123.839999999999</v>
      </c>
      <c r="I238" s="8">
        <v>124.467142857142</v>
      </c>
      <c r="J238" s="8">
        <v>124.823749999999</v>
      </c>
      <c r="K238" s="9">
        <f t="shared" si="312"/>
        <v>0.01761528874</v>
      </c>
      <c r="L238" s="9">
        <f t="shared" si="313"/>
        <v>0.02509347736</v>
      </c>
      <c r="M238" s="9">
        <f t="shared" si="314"/>
        <v>0.02899875364</v>
      </c>
      <c r="N238" s="9">
        <f t="shared" si="315"/>
        <v>0.03420974539</v>
      </c>
      <c r="O238" s="9">
        <f t="shared" si="316"/>
        <v>0.03717282925</v>
      </c>
      <c r="P238" s="10" t="b">
        <f t="shared" ref="P238:T238" si="321">F238&gt;$E238</f>
        <v>1</v>
      </c>
      <c r="Q238" s="10" t="b">
        <f t="shared" si="321"/>
        <v>1</v>
      </c>
      <c r="R238" s="10" t="b">
        <f t="shared" si="321"/>
        <v>1</v>
      </c>
      <c r="S238" s="10" t="b">
        <f t="shared" si="321"/>
        <v>1</v>
      </c>
      <c r="T238" s="10" t="b">
        <f t="shared" si="321"/>
        <v>1</v>
      </c>
    </row>
    <row r="239" ht="15.75" customHeight="1">
      <c r="A239" s="5">
        <v>45160.0</v>
      </c>
      <c r="B239" s="6" t="s">
        <v>85</v>
      </c>
      <c r="C239" s="5">
        <v>45159.0</v>
      </c>
      <c r="D239" s="7">
        <v>133.3</v>
      </c>
      <c r="E239" s="7">
        <v>134.9</v>
      </c>
      <c r="F239" s="11"/>
      <c r="G239" s="11"/>
      <c r="H239" s="11"/>
      <c r="I239" s="11"/>
      <c r="J239" s="11"/>
      <c r="K239" s="9"/>
      <c r="L239" s="9"/>
      <c r="M239" s="9"/>
      <c r="N239" s="9"/>
      <c r="O239" s="9"/>
      <c r="P239" s="10"/>
      <c r="Q239" s="10"/>
      <c r="R239" s="10"/>
      <c r="S239" s="10"/>
      <c r="T239" s="10"/>
    </row>
    <row r="240" ht="15.75" customHeight="1">
      <c r="A240" s="5">
        <v>45016.0</v>
      </c>
      <c r="B240" s="6" t="s">
        <v>86</v>
      </c>
      <c r="C240" s="5">
        <v>45012.0</v>
      </c>
      <c r="D240" s="7">
        <v>740.2</v>
      </c>
      <c r="E240" s="7">
        <v>739.5</v>
      </c>
      <c r="F240" s="8">
        <v>777.475</v>
      </c>
      <c r="G240" s="8">
        <v>797.194</v>
      </c>
      <c r="H240" s="8">
        <v>812.443333333333</v>
      </c>
      <c r="I240" s="8">
        <v>825.981428571428</v>
      </c>
      <c r="J240" s="8">
        <v>837.695</v>
      </c>
      <c r="K240" s="9">
        <f t="shared" ref="K240:K249" si="323">((F240-E240)/E240)</f>
        <v>0.05135226504</v>
      </c>
      <c r="L240" s="9">
        <f t="shared" ref="L240:L249" si="324">((G240-E240)/E240)</f>
        <v>0.07801757945</v>
      </c>
      <c r="M240" s="9">
        <f t="shared" ref="M240:M248" si="325">((H240-E240)/E240)</f>
        <v>0.09863871986</v>
      </c>
      <c r="N240" s="9">
        <f t="shared" ref="N240:N248" si="326">((I240-E240)/E240)</f>
        <v>0.1169458128</v>
      </c>
      <c r="O240" s="9">
        <f t="shared" ref="O240:O248" si="327">((J240-E240)/E240)</f>
        <v>0.132785666</v>
      </c>
      <c r="P240" s="10" t="b">
        <f t="shared" ref="P240:T240" si="322">F240&gt;$E240</f>
        <v>1</v>
      </c>
      <c r="Q240" s="10" t="b">
        <f t="shared" si="322"/>
        <v>1</v>
      </c>
      <c r="R240" s="10" t="b">
        <f t="shared" si="322"/>
        <v>1</v>
      </c>
      <c r="S240" s="10" t="b">
        <f t="shared" si="322"/>
        <v>1</v>
      </c>
      <c r="T240" s="10" t="b">
        <f t="shared" si="322"/>
        <v>1</v>
      </c>
    </row>
    <row r="241" ht="15.75" customHeight="1">
      <c r="A241" s="5">
        <v>45050.0</v>
      </c>
      <c r="B241" s="6" t="s">
        <v>86</v>
      </c>
      <c r="C241" s="5">
        <v>45047.0</v>
      </c>
      <c r="D241" s="7">
        <v>796.55</v>
      </c>
      <c r="E241" s="7">
        <v>824.25</v>
      </c>
      <c r="F241" s="8">
        <v>897.915</v>
      </c>
      <c r="G241" s="8">
        <v>902.862</v>
      </c>
      <c r="H241" s="8">
        <v>902.74</v>
      </c>
      <c r="I241" s="8">
        <v>896.75</v>
      </c>
      <c r="J241" s="8">
        <v>889.80375</v>
      </c>
      <c r="K241" s="9">
        <f t="shared" si="323"/>
        <v>0.08937215651</v>
      </c>
      <c r="L241" s="9">
        <f t="shared" si="324"/>
        <v>0.09537397634</v>
      </c>
      <c r="M241" s="9">
        <f t="shared" si="325"/>
        <v>0.095225963</v>
      </c>
      <c r="N241" s="9">
        <f t="shared" si="326"/>
        <v>0.08795875038</v>
      </c>
      <c r="O241" s="9">
        <f t="shared" si="327"/>
        <v>0.07953139217</v>
      </c>
      <c r="P241" s="10" t="b">
        <f t="shared" ref="P241:T241" si="328">F241&gt;$E241</f>
        <v>1</v>
      </c>
      <c r="Q241" s="10" t="b">
        <f t="shared" si="328"/>
        <v>1</v>
      </c>
      <c r="R241" s="10" t="b">
        <f t="shared" si="328"/>
        <v>1</v>
      </c>
      <c r="S241" s="10" t="b">
        <f t="shared" si="328"/>
        <v>1</v>
      </c>
      <c r="T241" s="10" t="b">
        <f t="shared" si="328"/>
        <v>1</v>
      </c>
    </row>
    <row r="242" ht="15.75" customHeight="1">
      <c r="A242" s="5">
        <v>45057.0</v>
      </c>
      <c r="B242" s="6" t="s">
        <v>86</v>
      </c>
      <c r="C242" s="5">
        <v>45054.0</v>
      </c>
      <c r="D242" s="7">
        <v>865.65</v>
      </c>
      <c r="E242" s="7">
        <v>879.4</v>
      </c>
      <c r="F242" s="8">
        <v>909.56</v>
      </c>
      <c r="G242" s="8">
        <v>908.074</v>
      </c>
      <c r="H242" s="8">
        <v>900.196666666666</v>
      </c>
      <c r="I242" s="8">
        <v>891.765714285714</v>
      </c>
      <c r="J242" s="8">
        <v>884.80625</v>
      </c>
      <c r="K242" s="9">
        <f t="shared" si="323"/>
        <v>0.03429611098</v>
      </c>
      <c r="L242" s="9">
        <f t="shared" si="324"/>
        <v>0.03260632249</v>
      </c>
      <c r="M242" s="9">
        <f t="shared" si="325"/>
        <v>0.02364869987</v>
      </c>
      <c r="N242" s="9">
        <f t="shared" si="326"/>
        <v>0.01406153546</v>
      </c>
      <c r="O242" s="9">
        <f t="shared" si="327"/>
        <v>0.006147657494</v>
      </c>
      <c r="P242" s="10" t="b">
        <f t="shared" ref="P242:T242" si="329">F242&gt;$E242</f>
        <v>1</v>
      </c>
      <c r="Q242" s="10" t="b">
        <f t="shared" si="329"/>
        <v>1</v>
      </c>
      <c r="R242" s="10" t="b">
        <f t="shared" si="329"/>
        <v>1</v>
      </c>
      <c r="S242" s="10" t="b">
        <f t="shared" si="329"/>
        <v>1</v>
      </c>
      <c r="T242" s="10" t="b">
        <f t="shared" si="329"/>
        <v>1</v>
      </c>
    </row>
    <row r="243" ht="15.75" customHeight="1">
      <c r="A243" s="5">
        <v>45076.0</v>
      </c>
      <c r="B243" s="6" t="s">
        <v>86</v>
      </c>
      <c r="C243" s="5">
        <v>45075.0</v>
      </c>
      <c r="D243" s="7">
        <v>917.05</v>
      </c>
      <c r="E243" s="7">
        <v>919.8</v>
      </c>
      <c r="F243" s="8">
        <v>890.5175</v>
      </c>
      <c r="G243" s="8">
        <v>879.778</v>
      </c>
      <c r="H243" s="8">
        <v>873.258333333333</v>
      </c>
      <c r="I243" s="8">
        <v>871.414285714285</v>
      </c>
      <c r="J243" s="8">
        <v>870.557499999999</v>
      </c>
      <c r="K243" s="9">
        <f t="shared" si="323"/>
        <v>-0.03183572516</v>
      </c>
      <c r="L243" s="9">
        <f t="shared" si="324"/>
        <v>-0.04351163296</v>
      </c>
      <c r="M243" s="9">
        <f t="shared" si="325"/>
        <v>-0.05059976807</v>
      </c>
      <c r="N243" s="9">
        <f t="shared" si="326"/>
        <v>-0.05260460349</v>
      </c>
      <c r="O243" s="9">
        <f t="shared" si="327"/>
        <v>-0.0535360948</v>
      </c>
      <c r="P243" s="10" t="b">
        <f t="shared" ref="P243:T243" si="330">F243&gt;$E243</f>
        <v>0</v>
      </c>
      <c r="Q243" s="10" t="b">
        <f t="shared" si="330"/>
        <v>0</v>
      </c>
      <c r="R243" s="10" t="b">
        <f t="shared" si="330"/>
        <v>0</v>
      </c>
      <c r="S243" s="10" t="b">
        <f t="shared" si="330"/>
        <v>0</v>
      </c>
      <c r="T243" s="10" t="b">
        <f t="shared" si="330"/>
        <v>0</v>
      </c>
    </row>
    <row r="244" ht="15.75" customHeight="1">
      <c r="A244" s="5">
        <v>44946.0</v>
      </c>
      <c r="B244" s="6" t="s">
        <v>87</v>
      </c>
      <c r="C244" s="5">
        <v>44942.0</v>
      </c>
      <c r="D244" s="7">
        <v>99.0</v>
      </c>
      <c r="E244" s="7">
        <v>99.15</v>
      </c>
      <c r="F244" s="8">
        <v>95.8825</v>
      </c>
      <c r="G244" s="8">
        <v>97.446</v>
      </c>
      <c r="H244" s="8">
        <v>99.545</v>
      </c>
      <c r="I244" s="8">
        <v>100.997142857142</v>
      </c>
      <c r="J244" s="8">
        <v>101.4475</v>
      </c>
      <c r="K244" s="9">
        <f t="shared" si="323"/>
        <v>-0.03295511851</v>
      </c>
      <c r="L244" s="9">
        <f t="shared" si="324"/>
        <v>-0.01718608169</v>
      </c>
      <c r="M244" s="9">
        <f t="shared" si="325"/>
        <v>0.003983862834</v>
      </c>
      <c r="N244" s="9">
        <f t="shared" si="326"/>
        <v>0.01862978172</v>
      </c>
      <c r="O244" s="9">
        <f t="shared" si="327"/>
        <v>0.02317196167</v>
      </c>
      <c r="P244" s="10" t="b">
        <f t="shared" ref="P244:T244" si="331">F244&gt;$E244</f>
        <v>0</v>
      </c>
      <c r="Q244" s="10" t="b">
        <f t="shared" si="331"/>
        <v>0</v>
      </c>
      <c r="R244" s="10" t="b">
        <f t="shared" si="331"/>
        <v>1</v>
      </c>
      <c r="S244" s="10" t="b">
        <f t="shared" si="331"/>
        <v>1</v>
      </c>
      <c r="T244" s="10" t="b">
        <f t="shared" si="331"/>
        <v>1</v>
      </c>
    </row>
    <row r="245" ht="15.75" customHeight="1">
      <c r="A245" s="5">
        <v>44980.0</v>
      </c>
      <c r="B245" s="6" t="s">
        <v>87</v>
      </c>
      <c r="C245" s="5">
        <v>44977.0</v>
      </c>
      <c r="D245" s="7">
        <v>98.05</v>
      </c>
      <c r="E245" s="7">
        <v>103.4</v>
      </c>
      <c r="F245" s="8">
        <v>107.242499999999</v>
      </c>
      <c r="G245" s="8">
        <v>106.926</v>
      </c>
      <c r="H245" s="8">
        <v>107.258333333333</v>
      </c>
      <c r="I245" s="8">
        <v>107.528571428571</v>
      </c>
      <c r="J245" s="8">
        <v>107.58875</v>
      </c>
      <c r="K245" s="9">
        <f t="shared" si="323"/>
        <v>0.0371615087</v>
      </c>
      <c r="L245" s="9">
        <f t="shared" si="324"/>
        <v>0.03410058027</v>
      </c>
      <c r="M245" s="9">
        <f t="shared" si="325"/>
        <v>0.03731463572</v>
      </c>
      <c r="N245" s="9">
        <f t="shared" si="326"/>
        <v>0.03992815695</v>
      </c>
      <c r="O245" s="9">
        <f t="shared" si="327"/>
        <v>0.04051015474</v>
      </c>
      <c r="P245" s="10" t="b">
        <f t="shared" ref="P245:T245" si="332">F245&gt;$E245</f>
        <v>1</v>
      </c>
      <c r="Q245" s="10" t="b">
        <f t="shared" si="332"/>
        <v>1</v>
      </c>
      <c r="R245" s="10" t="b">
        <f t="shared" si="332"/>
        <v>1</v>
      </c>
      <c r="S245" s="10" t="b">
        <f t="shared" si="332"/>
        <v>1</v>
      </c>
      <c r="T245" s="10" t="b">
        <f t="shared" si="332"/>
        <v>1</v>
      </c>
    </row>
    <row r="246" ht="15.75" customHeight="1">
      <c r="A246" s="5">
        <v>44991.0</v>
      </c>
      <c r="B246" s="6" t="s">
        <v>87</v>
      </c>
      <c r="C246" s="5">
        <v>44991.0</v>
      </c>
      <c r="D246" s="7">
        <v>109.05</v>
      </c>
      <c r="E246" s="7">
        <v>110.2</v>
      </c>
      <c r="F246" s="8">
        <v>106.57</v>
      </c>
      <c r="G246" s="8">
        <v>107.052</v>
      </c>
      <c r="H246" s="8">
        <v>107.386666666666</v>
      </c>
      <c r="I246" s="8">
        <v>107.432857142857</v>
      </c>
      <c r="J246" s="8">
        <v>107.63125</v>
      </c>
      <c r="K246" s="9">
        <f t="shared" si="323"/>
        <v>-0.03294010889</v>
      </c>
      <c r="L246" s="9">
        <f t="shared" si="324"/>
        <v>-0.02856624319</v>
      </c>
      <c r="M246" s="9">
        <f t="shared" si="325"/>
        <v>-0.02552934059</v>
      </c>
      <c r="N246" s="9">
        <f t="shared" si="326"/>
        <v>-0.02511018927</v>
      </c>
      <c r="O246" s="9">
        <f t="shared" si="327"/>
        <v>-0.02330989111</v>
      </c>
      <c r="P246" s="10" t="b">
        <f t="shared" ref="P246:T246" si="333">F246&gt;$E246</f>
        <v>0</v>
      </c>
      <c r="Q246" s="10" t="b">
        <f t="shared" si="333"/>
        <v>0</v>
      </c>
      <c r="R246" s="10" t="b">
        <f t="shared" si="333"/>
        <v>0</v>
      </c>
      <c r="S246" s="10" t="b">
        <f t="shared" si="333"/>
        <v>0</v>
      </c>
      <c r="T246" s="10" t="b">
        <f t="shared" si="333"/>
        <v>0</v>
      </c>
    </row>
    <row r="247" ht="15.75" customHeight="1">
      <c r="A247" s="5">
        <v>45028.0</v>
      </c>
      <c r="B247" s="6" t="s">
        <v>87</v>
      </c>
      <c r="C247" s="5">
        <v>45026.0</v>
      </c>
      <c r="D247" s="7">
        <v>108.6</v>
      </c>
      <c r="E247" s="7">
        <v>108.25</v>
      </c>
      <c r="F247" s="8">
        <v>108.695</v>
      </c>
      <c r="G247" s="8">
        <v>108.324</v>
      </c>
      <c r="H247" s="8">
        <v>107.893333333333</v>
      </c>
      <c r="I247" s="8">
        <v>107.454285714285</v>
      </c>
      <c r="J247" s="8">
        <v>107.31</v>
      </c>
      <c r="K247" s="9">
        <f t="shared" si="323"/>
        <v>0.004110854503</v>
      </c>
      <c r="L247" s="9">
        <f t="shared" si="324"/>
        <v>0.0006836027714</v>
      </c>
      <c r="M247" s="9">
        <f t="shared" si="325"/>
        <v>-0.003294842186</v>
      </c>
      <c r="N247" s="9">
        <f t="shared" si="326"/>
        <v>-0.007350709337</v>
      </c>
      <c r="O247" s="9">
        <f t="shared" si="327"/>
        <v>-0.008683602771</v>
      </c>
      <c r="P247" s="10" t="b">
        <f t="shared" ref="P247:T247" si="334">F247&gt;$E247</f>
        <v>1</v>
      </c>
      <c r="Q247" s="10" t="b">
        <f t="shared" si="334"/>
        <v>1</v>
      </c>
      <c r="R247" s="10" t="b">
        <f t="shared" si="334"/>
        <v>0</v>
      </c>
      <c r="S247" s="10" t="b">
        <f t="shared" si="334"/>
        <v>0</v>
      </c>
      <c r="T247" s="10" t="b">
        <f t="shared" si="334"/>
        <v>0</v>
      </c>
    </row>
    <row r="248" ht="15.75" customHeight="1">
      <c r="A248" s="5">
        <v>45090.0</v>
      </c>
      <c r="B248" s="6" t="s">
        <v>87</v>
      </c>
      <c r="C248" s="5">
        <v>45089.0</v>
      </c>
      <c r="D248" s="7">
        <v>107.05</v>
      </c>
      <c r="E248" s="7">
        <v>108.0</v>
      </c>
      <c r="F248" s="8">
        <v>107.4625</v>
      </c>
      <c r="G248" s="8">
        <v>108.366</v>
      </c>
      <c r="H248" s="8">
        <v>109.958333333333</v>
      </c>
      <c r="I248" s="8">
        <v>110.759999999999</v>
      </c>
      <c r="J248" s="8">
        <v>111.369999999999</v>
      </c>
      <c r="K248" s="9">
        <f t="shared" si="323"/>
        <v>-0.004976851852</v>
      </c>
      <c r="L248" s="9">
        <f t="shared" si="324"/>
        <v>0.003388888889</v>
      </c>
      <c r="M248" s="9">
        <f t="shared" si="325"/>
        <v>0.01813271605</v>
      </c>
      <c r="N248" s="9">
        <f t="shared" si="326"/>
        <v>0.02555555556</v>
      </c>
      <c r="O248" s="9">
        <f t="shared" si="327"/>
        <v>0.0312037037</v>
      </c>
      <c r="P248" s="10" t="b">
        <f t="shared" ref="P248:T248" si="335">F248&gt;$E248</f>
        <v>0</v>
      </c>
      <c r="Q248" s="10" t="b">
        <f t="shared" si="335"/>
        <v>1</v>
      </c>
      <c r="R248" s="10" t="b">
        <f t="shared" si="335"/>
        <v>1</v>
      </c>
      <c r="S248" s="10" t="b">
        <f t="shared" si="335"/>
        <v>1</v>
      </c>
      <c r="T248" s="10" t="b">
        <f t="shared" si="335"/>
        <v>1</v>
      </c>
    </row>
    <row r="249" ht="15.75" customHeight="1">
      <c r="A249" s="5">
        <v>45132.0</v>
      </c>
      <c r="B249" s="6" t="s">
        <v>87</v>
      </c>
      <c r="C249" s="5">
        <v>45131.0</v>
      </c>
      <c r="D249" s="7">
        <v>116.4</v>
      </c>
      <c r="E249" s="7">
        <v>119.1</v>
      </c>
      <c r="F249" s="8">
        <v>116.03</v>
      </c>
      <c r="G249" s="8">
        <v>115.986363636363</v>
      </c>
      <c r="H249" s="11"/>
      <c r="I249" s="11"/>
      <c r="J249" s="11"/>
      <c r="K249" s="9">
        <f t="shared" si="323"/>
        <v>-0.02577665827</v>
      </c>
      <c r="L249" s="9">
        <f t="shared" si="324"/>
        <v>-0.02614304252</v>
      </c>
      <c r="M249" s="9"/>
      <c r="N249" s="9"/>
      <c r="O249" s="9"/>
      <c r="P249" s="10" t="b">
        <f t="shared" ref="P249:Q249" si="336">F249&gt;$E249</f>
        <v>0</v>
      </c>
      <c r="Q249" s="10" t="b">
        <f t="shared" si="336"/>
        <v>0</v>
      </c>
      <c r="R249" s="10"/>
      <c r="S249" s="10"/>
      <c r="T249" s="10"/>
    </row>
    <row r="250" ht="15.75" customHeight="1">
      <c r="A250" s="5">
        <v>45160.0</v>
      </c>
      <c r="B250" s="6" t="s">
        <v>87</v>
      </c>
      <c r="C250" s="5">
        <v>45159.0</v>
      </c>
      <c r="D250" s="7">
        <v>117.05</v>
      </c>
      <c r="E250" s="7">
        <v>117.35</v>
      </c>
      <c r="F250" s="11"/>
      <c r="G250" s="11"/>
      <c r="H250" s="11"/>
      <c r="I250" s="11"/>
      <c r="J250" s="11"/>
      <c r="K250" s="9"/>
      <c r="L250" s="9"/>
      <c r="M250" s="9"/>
      <c r="N250" s="9"/>
      <c r="O250" s="9"/>
      <c r="P250" s="10"/>
      <c r="Q250" s="10"/>
      <c r="R250" s="10"/>
      <c r="S250" s="10"/>
      <c r="T250" s="10"/>
    </row>
    <row r="251" ht="15.75" customHeight="1">
      <c r="A251" s="5">
        <v>45044.0</v>
      </c>
      <c r="B251" s="6" t="s">
        <v>88</v>
      </c>
      <c r="C251" s="5">
        <v>45040.0</v>
      </c>
      <c r="D251" s="7">
        <v>6847.95</v>
      </c>
      <c r="E251" s="7">
        <v>6814.4</v>
      </c>
      <c r="F251" s="8">
        <v>6823.1975</v>
      </c>
      <c r="G251" s="8">
        <v>6837.566</v>
      </c>
      <c r="H251" s="8">
        <v>6850.52333333333</v>
      </c>
      <c r="I251" s="8">
        <v>6863.67999999999</v>
      </c>
      <c r="J251" s="8">
        <v>6881.9575</v>
      </c>
      <c r="K251" s="9">
        <f t="shared" ref="K251:K273" si="338">((F251-E251)/E251)</f>
        <v>0.001291016084</v>
      </c>
      <c r="L251" s="9">
        <f t="shared" ref="L251:L272" si="339">((G251-E251)/E251)</f>
        <v>0.003399565626</v>
      </c>
      <c r="M251" s="9">
        <f t="shared" ref="M251:M272" si="340">((H251-E251)/E251)</f>
        <v>0.005301029193</v>
      </c>
      <c r="N251" s="9">
        <f t="shared" ref="N251:N272" si="341">((I251-E251)/E251)</f>
        <v>0.007231744541</v>
      </c>
      <c r="O251" s="9">
        <f t="shared" ref="O251:O260" si="342">((J251-E251)/E251)</f>
        <v>0.009913932261</v>
      </c>
      <c r="P251" s="10" t="b">
        <f t="shared" ref="P251:T251" si="337">F251&gt;$E251</f>
        <v>1</v>
      </c>
      <c r="Q251" s="10" t="b">
        <f t="shared" si="337"/>
        <v>1</v>
      </c>
      <c r="R251" s="10" t="b">
        <f t="shared" si="337"/>
        <v>1</v>
      </c>
      <c r="S251" s="10" t="b">
        <f t="shared" si="337"/>
        <v>1</v>
      </c>
      <c r="T251" s="10" t="b">
        <f t="shared" si="337"/>
        <v>1</v>
      </c>
    </row>
    <row r="252" ht="15.75" customHeight="1">
      <c r="A252" s="5">
        <v>45070.0</v>
      </c>
      <c r="B252" s="6" t="s">
        <v>88</v>
      </c>
      <c r="C252" s="5">
        <v>45068.0</v>
      </c>
      <c r="D252" s="7">
        <v>6934.45</v>
      </c>
      <c r="E252" s="7">
        <v>7078.0</v>
      </c>
      <c r="F252" s="8">
        <v>6946.695</v>
      </c>
      <c r="G252" s="8">
        <v>6975.512</v>
      </c>
      <c r="H252" s="8">
        <v>7023.39833333333</v>
      </c>
      <c r="I252" s="8">
        <v>7085.04142857142</v>
      </c>
      <c r="J252" s="8">
        <v>7132.55</v>
      </c>
      <c r="K252" s="9">
        <f t="shared" si="338"/>
        <v>-0.01855114439</v>
      </c>
      <c r="L252" s="9">
        <f t="shared" si="339"/>
        <v>-0.01447979655</v>
      </c>
      <c r="M252" s="9">
        <f t="shared" si="340"/>
        <v>-0.007714278987</v>
      </c>
      <c r="N252" s="9">
        <f t="shared" si="341"/>
        <v>0.0009948330844</v>
      </c>
      <c r="O252" s="9">
        <f t="shared" si="342"/>
        <v>0.007706979373</v>
      </c>
      <c r="P252" s="10" t="b">
        <f t="shared" ref="P252:T252" si="343">F252&gt;$E252</f>
        <v>0</v>
      </c>
      <c r="Q252" s="10" t="b">
        <f t="shared" si="343"/>
        <v>0</v>
      </c>
      <c r="R252" s="10" t="b">
        <f t="shared" si="343"/>
        <v>0</v>
      </c>
      <c r="S252" s="10" t="b">
        <f t="shared" si="343"/>
        <v>1</v>
      </c>
      <c r="T252" s="10" t="b">
        <f t="shared" si="343"/>
        <v>1</v>
      </c>
    </row>
    <row r="253" ht="15.75" customHeight="1">
      <c r="A253" s="5">
        <v>45107.0</v>
      </c>
      <c r="B253" s="6" t="s">
        <v>88</v>
      </c>
      <c r="C253" s="5">
        <v>45103.0</v>
      </c>
      <c r="D253" s="7">
        <v>7004.55</v>
      </c>
      <c r="E253" s="7">
        <v>7153.8</v>
      </c>
      <c r="F253" s="8">
        <v>7416.26499999999</v>
      </c>
      <c r="G253" s="8">
        <v>7421.826</v>
      </c>
      <c r="H253" s="8">
        <v>7385.98</v>
      </c>
      <c r="I253" s="8">
        <v>7345.73428571428</v>
      </c>
      <c r="J253" s="8">
        <v>7349.99743589743</v>
      </c>
      <c r="K253" s="9">
        <f t="shared" si="338"/>
        <v>0.03668889262</v>
      </c>
      <c r="L253" s="9">
        <f t="shared" si="339"/>
        <v>0.03746624172</v>
      </c>
      <c r="M253" s="9">
        <f t="shared" si="340"/>
        <v>0.03245547821</v>
      </c>
      <c r="N253" s="9">
        <f t="shared" si="341"/>
        <v>0.0268296969</v>
      </c>
      <c r="O253" s="9">
        <f t="shared" si="342"/>
        <v>0.02742562497</v>
      </c>
      <c r="P253" s="10" t="b">
        <f t="shared" ref="P253:T253" si="344">F253&gt;$E253</f>
        <v>1</v>
      </c>
      <c r="Q253" s="10" t="b">
        <f t="shared" si="344"/>
        <v>1</v>
      </c>
      <c r="R253" s="10" t="b">
        <f t="shared" si="344"/>
        <v>1</v>
      </c>
      <c r="S253" s="10" t="b">
        <f t="shared" si="344"/>
        <v>1</v>
      </c>
      <c r="T253" s="10" t="b">
        <f t="shared" si="344"/>
        <v>1</v>
      </c>
    </row>
    <row r="254" ht="15.75" customHeight="1">
      <c r="A254" s="5">
        <v>45040.0</v>
      </c>
      <c r="B254" s="6" t="s">
        <v>89</v>
      </c>
      <c r="C254" s="5">
        <v>45040.0</v>
      </c>
      <c r="D254" s="7">
        <v>732.55</v>
      </c>
      <c r="E254" s="7">
        <v>763.85</v>
      </c>
      <c r="F254" s="8">
        <v>781.252499999999</v>
      </c>
      <c r="G254" s="8">
        <v>783.87</v>
      </c>
      <c r="H254" s="8">
        <v>787.36</v>
      </c>
      <c r="I254" s="8">
        <v>796.798571428571</v>
      </c>
      <c r="J254" s="8">
        <v>803.8075</v>
      </c>
      <c r="K254" s="9">
        <f t="shared" si="338"/>
        <v>0.02278261439</v>
      </c>
      <c r="L254" s="9">
        <f t="shared" si="339"/>
        <v>0.02620933429</v>
      </c>
      <c r="M254" s="9">
        <f t="shared" si="340"/>
        <v>0.03077829417</v>
      </c>
      <c r="N254" s="9">
        <f t="shared" si="341"/>
        <v>0.04313487128</v>
      </c>
      <c r="O254" s="9">
        <f t="shared" si="342"/>
        <v>0.05231066309</v>
      </c>
      <c r="P254" s="10" t="b">
        <f t="shared" ref="P254:T254" si="345">F254&gt;$E254</f>
        <v>1</v>
      </c>
      <c r="Q254" s="10" t="b">
        <f t="shared" si="345"/>
        <v>1</v>
      </c>
      <c r="R254" s="10" t="b">
        <f t="shared" si="345"/>
        <v>1</v>
      </c>
      <c r="S254" s="10" t="b">
        <f t="shared" si="345"/>
        <v>1</v>
      </c>
      <c r="T254" s="10" t="b">
        <f t="shared" si="345"/>
        <v>1</v>
      </c>
    </row>
    <row r="255" ht="15.75" customHeight="1">
      <c r="A255" s="5">
        <v>45072.0</v>
      </c>
      <c r="B255" s="6" t="s">
        <v>89</v>
      </c>
      <c r="C255" s="5">
        <v>45068.0</v>
      </c>
      <c r="D255" s="7">
        <v>789.7</v>
      </c>
      <c r="E255" s="7">
        <v>793.65</v>
      </c>
      <c r="F255" s="8">
        <v>835.667499999999</v>
      </c>
      <c r="G255" s="8">
        <v>838.078</v>
      </c>
      <c r="H255" s="8">
        <v>838.333333333333</v>
      </c>
      <c r="I255" s="8">
        <v>841.348571428571</v>
      </c>
      <c r="J255" s="8">
        <v>844.05375</v>
      </c>
      <c r="K255" s="9">
        <f t="shared" si="338"/>
        <v>0.05294210294</v>
      </c>
      <c r="L255" s="9">
        <f t="shared" si="339"/>
        <v>0.05597933598</v>
      </c>
      <c r="M255" s="9">
        <f t="shared" si="340"/>
        <v>0.0563010563</v>
      </c>
      <c r="N255" s="9">
        <f t="shared" si="341"/>
        <v>0.0601002601</v>
      </c>
      <c r="O255" s="9">
        <f t="shared" si="342"/>
        <v>0.06350878851</v>
      </c>
      <c r="P255" s="10" t="b">
        <f t="shared" ref="P255:T255" si="346">F255&gt;$E255</f>
        <v>1</v>
      </c>
      <c r="Q255" s="10" t="b">
        <f t="shared" si="346"/>
        <v>1</v>
      </c>
      <c r="R255" s="10" t="b">
        <f t="shared" si="346"/>
        <v>1</v>
      </c>
      <c r="S255" s="10" t="b">
        <f t="shared" si="346"/>
        <v>1</v>
      </c>
      <c r="T255" s="10" t="b">
        <f t="shared" si="346"/>
        <v>1</v>
      </c>
    </row>
    <row r="256" ht="15.75" customHeight="1">
      <c r="A256" s="5">
        <v>45091.0</v>
      </c>
      <c r="B256" s="6" t="s">
        <v>89</v>
      </c>
      <c r="C256" s="5">
        <v>45089.0</v>
      </c>
      <c r="D256" s="7">
        <v>862.5</v>
      </c>
      <c r="E256" s="7">
        <v>858.9</v>
      </c>
      <c r="F256" s="8">
        <v>849.157499999999</v>
      </c>
      <c r="G256" s="8">
        <v>852.566</v>
      </c>
      <c r="H256" s="8">
        <v>852.755</v>
      </c>
      <c r="I256" s="8">
        <v>851.38</v>
      </c>
      <c r="J256" s="8">
        <v>850.384999999999</v>
      </c>
      <c r="K256" s="9">
        <f t="shared" si="338"/>
        <v>-0.01134299686</v>
      </c>
      <c r="L256" s="9">
        <f t="shared" si="339"/>
        <v>-0.007374548842</v>
      </c>
      <c r="M256" s="9">
        <f t="shared" si="340"/>
        <v>-0.007154499942</v>
      </c>
      <c r="N256" s="9">
        <f t="shared" si="341"/>
        <v>-0.008755384795</v>
      </c>
      <c r="O256" s="9">
        <f t="shared" si="342"/>
        <v>-0.009913843288</v>
      </c>
      <c r="P256" s="10" t="b">
        <f t="shared" ref="P256:T256" si="347">F256&gt;$E256</f>
        <v>0</v>
      </c>
      <c r="Q256" s="10" t="b">
        <f t="shared" si="347"/>
        <v>0</v>
      </c>
      <c r="R256" s="10" t="b">
        <f t="shared" si="347"/>
        <v>0</v>
      </c>
      <c r="S256" s="10" t="b">
        <f t="shared" si="347"/>
        <v>0</v>
      </c>
      <c r="T256" s="10" t="b">
        <f t="shared" si="347"/>
        <v>0</v>
      </c>
    </row>
    <row r="257" ht="15.75" customHeight="1">
      <c r="A257" s="5">
        <v>45075.0</v>
      </c>
      <c r="B257" s="6" t="s">
        <v>90</v>
      </c>
      <c r="C257" s="5">
        <v>45075.0</v>
      </c>
      <c r="D257" s="7">
        <v>461.8</v>
      </c>
      <c r="E257" s="7">
        <v>471.8</v>
      </c>
      <c r="F257" s="8">
        <v>537.2825</v>
      </c>
      <c r="G257" s="8">
        <v>545.11</v>
      </c>
      <c r="H257" s="8">
        <v>552.923333333333</v>
      </c>
      <c r="I257" s="8">
        <v>554.025714285714</v>
      </c>
      <c r="J257" s="8">
        <v>556.92</v>
      </c>
      <c r="K257" s="9">
        <f t="shared" si="338"/>
        <v>0.1387929207</v>
      </c>
      <c r="L257" s="9">
        <f t="shared" si="339"/>
        <v>0.1553836371</v>
      </c>
      <c r="M257" s="9">
        <f t="shared" si="340"/>
        <v>0.1719443267</v>
      </c>
      <c r="N257" s="9">
        <f t="shared" si="341"/>
        <v>0.1742808696</v>
      </c>
      <c r="O257" s="9">
        <f t="shared" si="342"/>
        <v>0.1804154303</v>
      </c>
      <c r="P257" s="10" t="b">
        <f t="shared" ref="P257:T257" si="348">F257&gt;$E257</f>
        <v>1</v>
      </c>
      <c r="Q257" s="10" t="b">
        <f t="shared" si="348"/>
        <v>1</v>
      </c>
      <c r="R257" s="10" t="b">
        <f t="shared" si="348"/>
        <v>1</v>
      </c>
      <c r="S257" s="10" t="b">
        <f t="shared" si="348"/>
        <v>1</v>
      </c>
      <c r="T257" s="10" t="b">
        <f t="shared" si="348"/>
        <v>1</v>
      </c>
    </row>
    <row r="258" ht="15.75" customHeight="1">
      <c r="A258" s="5">
        <v>45083.0</v>
      </c>
      <c r="B258" s="6" t="s">
        <v>90</v>
      </c>
      <c r="C258" s="5">
        <v>45082.0</v>
      </c>
      <c r="D258" s="7">
        <v>496.7</v>
      </c>
      <c r="E258" s="7">
        <v>503.4</v>
      </c>
      <c r="F258" s="8">
        <v>561.035</v>
      </c>
      <c r="G258" s="8">
        <v>566.446</v>
      </c>
      <c r="H258" s="8">
        <v>565.553333333333</v>
      </c>
      <c r="I258" s="8">
        <v>567.148571428571</v>
      </c>
      <c r="J258" s="8">
        <v>568.19</v>
      </c>
      <c r="K258" s="9">
        <f t="shared" si="338"/>
        <v>0.1144914581</v>
      </c>
      <c r="L258" s="9">
        <f t="shared" si="339"/>
        <v>0.1252403655</v>
      </c>
      <c r="M258" s="9">
        <f t="shared" si="340"/>
        <v>0.1234670905</v>
      </c>
      <c r="N258" s="9">
        <f t="shared" si="341"/>
        <v>0.1266360179</v>
      </c>
      <c r="O258" s="9">
        <f t="shared" si="342"/>
        <v>0.1287048073</v>
      </c>
      <c r="P258" s="10" t="b">
        <f t="shared" ref="P258:T258" si="349">F258&gt;$E258</f>
        <v>1</v>
      </c>
      <c r="Q258" s="10" t="b">
        <f t="shared" si="349"/>
        <v>1</v>
      </c>
      <c r="R258" s="10" t="b">
        <f t="shared" si="349"/>
        <v>1</v>
      </c>
      <c r="S258" s="10" t="b">
        <f t="shared" si="349"/>
        <v>1</v>
      </c>
      <c r="T258" s="10" t="b">
        <f t="shared" si="349"/>
        <v>1</v>
      </c>
    </row>
    <row r="259" ht="15.75" customHeight="1">
      <c r="A259" s="5">
        <v>45093.0</v>
      </c>
      <c r="B259" s="6" t="s">
        <v>90</v>
      </c>
      <c r="C259" s="5">
        <v>45089.0</v>
      </c>
      <c r="D259" s="7">
        <v>534.2</v>
      </c>
      <c r="E259" s="7">
        <v>562.55</v>
      </c>
      <c r="F259" s="8">
        <v>575.254999999999</v>
      </c>
      <c r="G259" s="8">
        <v>575.268</v>
      </c>
      <c r="H259" s="8">
        <v>575.118333333333</v>
      </c>
      <c r="I259" s="8">
        <v>575.062857142857</v>
      </c>
      <c r="J259" s="8">
        <v>571.1625</v>
      </c>
      <c r="K259" s="9">
        <f t="shared" si="338"/>
        <v>0.02258465914</v>
      </c>
      <c r="L259" s="9">
        <f t="shared" si="339"/>
        <v>0.0226077682</v>
      </c>
      <c r="M259" s="9">
        <f t="shared" si="340"/>
        <v>0.02234171777</v>
      </c>
      <c r="N259" s="9">
        <f t="shared" si="341"/>
        <v>0.0222431022</v>
      </c>
      <c r="O259" s="9">
        <f t="shared" si="342"/>
        <v>0.01530975024</v>
      </c>
      <c r="P259" s="10" t="b">
        <f t="shared" ref="P259:T259" si="350">F259&gt;$E259</f>
        <v>1</v>
      </c>
      <c r="Q259" s="10" t="b">
        <f t="shared" si="350"/>
        <v>1</v>
      </c>
      <c r="R259" s="10" t="b">
        <f t="shared" si="350"/>
        <v>1</v>
      </c>
      <c r="S259" s="10" t="b">
        <f t="shared" si="350"/>
        <v>1</v>
      </c>
      <c r="T259" s="10" t="b">
        <f t="shared" si="350"/>
        <v>1</v>
      </c>
    </row>
    <row r="260" ht="15.75" customHeight="1">
      <c r="A260" s="5">
        <v>45097.0</v>
      </c>
      <c r="B260" s="6" t="s">
        <v>90</v>
      </c>
      <c r="C260" s="5">
        <v>45096.0</v>
      </c>
      <c r="D260" s="7">
        <v>563.25</v>
      </c>
      <c r="E260" s="7">
        <v>564.05</v>
      </c>
      <c r="F260" s="8">
        <v>576.605</v>
      </c>
      <c r="G260" s="8">
        <v>576.627999999999</v>
      </c>
      <c r="H260" s="8">
        <v>576.436666666666</v>
      </c>
      <c r="I260" s="8">
        <v>574.511428571428</v>
      </c>
      <c r="J260" s="8">
        <v>570.5775</v>
      </c>
      <c r="K260" s="9">
        <f t="shared" si="338"/>
        <v>0.02225866501</v>
      </c>
      <c r="L260" s="9">
        <f t="shared" si="339"/>
        <v>0.02229944154</v>
      </c>
      <c r="M260" s="9">
        <f t="shared" si="340"/>
        <v>0.02196022811</v>
      </c>
      <c r="N260" s="9">
        <f t="shared" si="341"/>
        <v>0.01854698798</v>
      </c>
      <c r="O260" s="9">
        <f t="shared" si="342"/>
        <v>0.01157255562</v>
      </c>
      <c r="P260" s="10" t="b">
        <f t="shared" ref="P260:T260" si="351">F260&gt;$E260</f>
        <v>1</v>
      </c>
      <c r="Q260" s="10" t="b">
        <f t="shared" si="351"/>
        <v>1</v>
      </c>
      <c r="R260" s="10" t="b">
        <f t="shared" si="351"/>
        <v>1</v>
      </c>
      <c r="S260" s="10" t="b">
        <f t="shared" si="351"/>
        <v>1</v>
      </c>
      <c r="T260" s="10" t="b">
        <f t="shared" si="351"/>
        <v>1</v>
      </c>
    </row>
    <row r="261" ht="15.75" customHeight="1">
      <c r="A261" s="5">
        <v>45117.0</v>
      </c>
      <c r="B261" s="6" t="s">
        <v>90</v>
      </c>
      <c r="C261" s="5">
        <v>45117.0</v>
      </c>
      <c r="D261" s="7">
        <v>595.0</v>
      </c>
      <c r="E261" s="7">
        <v>587.85</v>
      </c>
      <c r="F261" s="8">
        <v>571.882499999999</v>
      </c>
      <c r="G261" s="8">
        <v>566.278</v>
      </c>
      <c r="H261" s="8">
        <v>563.156666666666</v>
      </c>
      <c r="I261" s="8">
        <v>562.930303030303</v>
      </c>
      <c r="J261" s="11"/>
      <c r="K261" s="9">
        <f t="shared" si="338"/>
        <v>-0.02716254146</v>
      </c>
      <c r="L261" s="9">
        <f t="shared" si="339"/>
        <v>-0.03669643617</v>
      </c>
      <c r="M261" s="9">
        <f t="shared" si="340"/>
        <v>-0.04200618072</v>
      </c>
      <c r="N261" s="9">
        <f t="shared" si="341"/>
        <v>-0.04239125112</v>
      </c>
      <c r="O261" s="9"/>
      <c r="P261" s="10" t="b">
        <f t="shared" ref="P261:S261" si="352">F261&gt;$E261</f>
        <v>0</v>
      </c>
      <c r="Q261" s="10" t="b">
        <f t="shared" si="352"/>
        <v>0</v>
      </c>
      <c r="R261" s="10" t="b">
        <f t="shared" si="352"/>
        <v>0</v>
      </c>
      <c r="S261" s="10" t="b">
        <f t="shared" si="352"/>
        <v>0</v>
      </c>
      <c r="T261" s="10"/>
    </row>
    <row r="262" ht="15.75" customHeight="1">
      <c r="A262" s="5">
        <v>44958.0</v>
      </c>
      <c r="B262" s="6" t="s">
        <v>91</v>
      </c>
      <c r="C262" s="5">
        <v>44956.0</v>
      </c>
      <c r="D262" s="7">
        <v>749.8</v>
      </c>
      <c r="E262" s="7">
        <v>781.4</v>
      </c>
      <c r="F262" s="8">
        <v>770.3025</v>
      </c>
      <c r="G262" s="8">
        <v>766.217999999999</v>
      </c>
      <c r="H262" s="8">
        <v>763.781666666666</v>
      </c>
      <c r="I262" s="8">
        <v>759.532857142857</v>
      </c>
      <c r="J262" s="8">
        <v>764.42</v>
      </c>
      <c r="K262" s="9">
        <f t="shared" si="338"/>
        <v>-0.0142020732</v>
      </c>
      <c r="L262" s="9">
        <f t="shared" si="339"/>
        <v>-0.01942922959</v>
      </c>
      <c r="M262" s="9">
        <f t="shared" si="340"/>
        <v>-0.02254713762</v>
      </c>
      <c r="N262" s="9">
        <f t="shared" si="341"/>
        <v>-0.02798456982</v>
      </c>
      <c r="O262" s="9">
        <f t="shared" ref="O262:O271" si="354">((J262-E262)/E262)</f>
        <v>-0.0217302278</v>
      </c>
      <c r="P262" s="10" t="b">
        <f t="shared" ref="P262:T262" si="353">F262&gt;$E262</f>
        <v>0</v>
      </c>
      <c r="Q262" s="10" t="b">
        <f t="shared" si="353"/>
        <v>0</v>
      </c>
      <c r="R262" s="10" t="b">
        <f t="shared" si="353"/>
        <v>0</v>
      </c>
      <c r="S262" s="10" t="b">
        <f t="shared" si="353"/>
        <v>0</v>
      </c>
      <c r="T262" s="10" t="b">
        <f t="shared" si="353"/>
        <v>0</v>
      </c>
    </row>
    <row r="263" ht="15.75" customHeight="1">
      <c r="A263" s="5">
        <v>45021.0</v>
      </c>
      <c r="B263" s="6" t="s">
        <v>91</v>
      </c>
      <c r="C263" s="5">
        <v>45019.0</v>
      </c>
      <c r="D263" s="7">
        <v>782.65</v>
      </c>
      <c r="E263" s="7">
        <v>820.25</v>
      </c>
      <c r="F263" s="8">
        <v>897.4775</v>
      </c>
      <c r="G263" s="8">
        <v>922.83</v>
      </c>
      <c r="H263" s="8">
        <v>944.881666666666</v>
      </c>
      <c r="I263" s="8">
        <v>959.492857142857</v>
      </c>
      <c r="J263" s="8">
        <v>972.213749999999</v>
      </c>
      <c r="K263" s="9">
        <f t="shared" si="338"/>
        <v>0.09415117342</v>
      </c>
      <c r="L263" s="9">
        <f t="shared" si="339"/>
        <v>0.1250594331</v>
      </c>
      <c r="M263" s="9">
        <f t="shared" si="340"/>
        <v>0.1519435132</v>
      </c>
      <c r="N263" s="9">
        <f t="shared" si="341"/>
        <v>0.1697566073</v>
      </c>
      <c r="O263" s="9">
        <f t="shared" si="354"/>
        <v>0.1852651631</v>
      </c>
      <c r="P263" s="10" t="b">
        <f t="shared" ref="P263:T263" si="355">F263&gt;$E263</f>
        <v>1</v>
      </c>
      <c r="Q263" s="10" t="b">
        <f t="shared" si="355"/>
        <v>1</v>
      </c>
      <c r="R263" s="10" t="b">
        <f t="shared" si="355"/>
        <v>1</v>
      </c>
      <c r="S263" s="10" t="b">
        <f t="shared" si="355"/>
        <v>1</v>
      </c>
      <c r="T263" s="10" t="b">
        <f t="shared" si="355"/>
        <v>1</v>
      </c>
    </row>
    <row r="264" ht="15.75" customHeight="1">
      <c r="A264" s="5">
        <v>45064.0</v>
      </c>
      <c r="B264" s="6" t="s">
        <v>91</v>
      </c>
      <c r="C264" s="5">
        <v>45061.0</v>
      </c>
      <c r="D264" s="7">
        <v>1042.3</v>
      </c>
      <c r="E264" s="7">
        <v>1052.2</v>
      </c>
      <c r="F264" s="8">
        <v>1077.675</v>
      </c>
      <c r="G264" s="8">
        <v>1080.366</v>
      </c>
      <c r="H264" s="8">
        <v>1095.31666666666</v>
      </c>
      <c r="I264" s="8">
        <v>1103.39857142857</v>
      </c>
      <c r="J264" s="8">
        <v>1110.56875</v>
      </c>
      <c r="K264" s="9">
        <f t="shared" si="338"/>
        <v>0.02421117658</v>
      </c>
      <c r="L264" s="9">
        <f t="shared" si="339"/>
        <v>0.02676867516</v>
      </c>
      <c r="M264" s="9">
        <f t="shared" si="340"/>
        <v>0.04097763416</v>
      </c>
      <c r="N264" s="9">
        <f t="shared" si="341"/>
        <v>0.04865859288</v>
      </c>
      <c r="O264" s="9">
        <f t="shared" si="354"/>
        <v>0.05547305645</v>
      </c>
      <c r="P264" s="10" t="b">
        <f t="shared" ref="P264:T264" si="356">F264&gt;$E264</f>
        <v>1</v>
      </c>
      <c r="Q264" s="10" t="b">
        <f t="shared" si="356"/>
        <v>1</v>
      </c>
      <c r="R264" s="10" t="b">
        <f t="shared" si="356"/>
        <v>1</v>
      </c>
      <c r="S264" s="10" t="b">
        <f t="shared" si="356"/>
        <v>1</v>
      </c>
      <c r="T264" s="10" t="b">
        <f t="shared" si="356"/>
        <v>1</v>
      </c>
    </row>
    <row r="265" ht="15.75" customHeight="1">
      <c r="A265" s="5">
        <v>45090.0</v>
      </c>
      <c r="B265" s="6" t="s">
        <v>91</v>
      </c>
      <c r="C265" s="5">
        <v>45089.0</v>
      </c>
      <c r="D265" s="7">
        <v>1101.8</v>
      </c>
      <c r="E265" s="7">
        <v>1132.25</v>
      </c>
      <c r="F265" s="8">
        <v>1139.8325</v>
      </c>
      <c r="G265" s="8">
        <v>1141.32</v>
      </c>
      <c r="H265" s="8">
        <v>1140.355</v>
      </c>
      <c r="I265" s="8">
        <v>1131.18714285714</v>
      </c>
      <c r="J265" s="8">
        <v>1120.14125</v>
      </c>
      <c r="K265" s="9">
        <f t="shared" si="338"/>
        <v>0.00669684257</v>
      </c>
      <c r="L265" s="9">
        <f t="shared" si="339"/>
        <v>0.008010598366</v>
      </c>
      <c r="M265" s="9">
        <f t="shared" si="340"/>
        <v>0.007158313093</v>
      </c>
      <c r="N265" s="9">
        <f t="shared" si="341"/>
        <v>-0.0009387124247</v>
      </c>
      <c r="O265" s="9">
        <f t="shared" si="354"/>
        <v>-0.01069441378</v>
      </c>
      <c r="P265" s="10" t="b">
        <f t="shared" ref="P265:T265" si="357">F265&gt;$E265</f>
        <v>1</v>
      </c>
      <c r="Q265" s="10" t="b">
        <f t="shared" si="357"/>
        <v>1</v>
      </c>
      <c r="R265" s="10" t="b">
        <f t="shared" si="357"/>
        <v>1</v>
      </c>
      <c r="S265" s="10" t="b">
        <f t="shared" si="357"/>
        <v>0</v>
      </c>
      <c r="T265" s="10" t="b">
        <f t="shared" si="357"/>
        <v>0</v>
      </c>
    </row>
    <row r="266" ht="15.75" customHeight="1">
      <c r="A266" s="5">
        <v>45054.0</v>
      </c>
      <c r="B266" s="6" t="s">
        <v>92</v>
      </c>
      <c r="C266" s="5">
        <v>45054.0</v>
      </c>
      <c r="D266" s="7">
        <v>530.7</v>
      </c>
      <c r="E266" s="7">
        <v>541.5</v>
      </c>
      <c r="F266" s="8">
        <v>538.5975</v>
      </c>
      <c r="G266" s="8">
        <v>539.208</v>
      </c>
      <c r="H266" s="8">
        <v>537.705</v>
      </c>
      <c r="I266" s="8">
        <v>536.621428571428</v>
      </c>
      <c r="J266" s="8">
        <v>535.464999999999</v>
      </c>
      <c r="K266" s="9">
        <f t="shared" si="338"/>
        <v>-0.005360110803</v>
      </c>
      <c r="L266" s="9">
        <f t="shared" si="339"/>
        <v>-0.004232686981</v>
      </c>
      <c r="M266" s="9">
        <f t="shared" si="340"/>
        <v>-0.007008310249</v>
      </c>
      <c r="N266" s="9">
        <f t="shared" si="341"/>
        <v>-0.009009365519</v>
      </c>
      <c r="O266" s="9">
        <f t="shared" si="354"/>
        <v>-0.01114496768</v>
      </c>
      <c r="P266" s="10" t="b">
        <f t="shared" ref="P266:T266" si="358">F266&gt;$E266</f>
        <v>0</v>
      </c>
      <c r="Q266" s="10" t="b">
        <f t="shared" si="358"/>
        <v>0</v>
      </c>
      <c r="R266" s="10" t="b">
        <f t="shared" si="358"/>
        <v>0</v>
      </c>
      <c r="S266" s="10" t="b">
        <f t="shared" si="358"/>
        <v>0</v>
      </c>
      <c r="T266" s="10" t="b">
        <f t="shared" si="358"/>
        <v>0</v>
      </c>
    </row>
    <row r="267" ht="15.75" customHeight="1">
      <c r="A267" s="5">
        <v>45044.0</v>
      </c>
      <c r="B267" s="6" t="s">
        <v>93</v>
      </c>
      <c r="C267" s="5">
        <v>45040.0</v>
      </c>
      <c r="D267" s="7">
        <v>4513.7</v>
      </c>
      <c r="E267" s="7">
        <v>4602.5</v>
      </c>
      <c r="F267" s="8">
        <v>4604.2775</v>
      </c>
      <c r="G267" s="8">
        <v>4674.226</v>
      </c>
      <c r="H267" s="8">
        <v>4738.64166666666</v>
      </c>
      <c r="I267" s="8">
        <v>4791.32857142857</v>
      </c>
      <c r="J267" s="8">
        <v>4829.64375</v>
      </c>
      <c r="K267" s="9">
        <f t="shared" si="338"/>
        <v>0.0003862031505</v>
      </c>
      <c r="L267" s="9">
        <f t="shared" si="339"/>
        <v>0.01558413905</v>
      </c>
      <c r="M267" s="9">
        <f t="shared" si="340"/>
        <v>0.02957993844</v>
      </c>
      <c r="N267" s="9">
        <f t="shared" si="341"/>
        <v>0.04102739195</v>
      </c>
      <c r="O267" s="9">
        <f t="shared" si="354"/>
        <v>0.04935225421</v>
      </c>
      <c r="P267" s="10" t="b">
        <f t="shared" ref="P267:T267" si="359">F267&gt;$E267</f>
        <v>1</v>
      </c>
      <c r="Q267" s="10" t="b">
        <f t="shared" si="359"/>
        <v>1</v>
      </c>
      <c r="R267" s="10" t="b">
        <f t="shared" si="359"/>
        <v>1</v>
      </c>
      <c r="S267" s="10" t="b">
        <f t="shared" si="359"/>
        <v>1</v>
      </c>
      <c r="T267" s="10" t="b">
        <f t="shared" si="359"/>
        <v>1</v>
      </c>
    </row>
    <row r="268" ht="15.75" customHeight="1">
      <c r="A268" s="5">
        <v>45051.0</v>
      </c>
      <c r="B268" s="6" t="s">
        <v>93</v>
      </c>
      <c r="C268" s="5">
        <v>45047.0</v>
      </c>
      <c r="D268" s="7">
        <v>4602.5</v>
      </c>
      <c r="E268" s="7">
        <v>4595.3</v>
      </c>
      <c r="F268" s="8">
        <v>4675.71</v>
      </c>
      <c r="G268" s="8">
        <v>4741.778</v>
      </c>
      <c r="H268" s="8">
        <v>4807.87666666666</v>
      </c>
      <c r="I268" s="8">
        <v>4848.64285714285</v>
      </c>
      <c r="J268" s="8">
        <v>4884.6975</v>
      </c>
      <c r="K268" s="9">
        <f t="shared" si="338"/>
        <v>0.01749831349</v>
      </c>
      <c r="L268" s="9">
        <f t="shared" si="339"/>
        <v>0.03187561204</v>
      </c>
      <c r="M268" s="9">
        <f t="shared" si="340"/>
        <v>0.04625958407</v>
      </c>
      <c r="N268" s="9">
        <f t="shared" si="341"/>
        <v>0.05513086352</v>
      </c>
      <c r="O268" s="9">
        <f t="shared" si="354"/>
        <v>0.06297684591</v>
      </c>
      <c r="P268" s="10" t="b">
        <f t="shared" ref="P268:T268" si="360">F268&gt;$E268</f>
        <v>1</v>
      </c>
      <c r="Q268" s="10" t="b">
        <f t="shared" si="360"/>
        <v>1</v>
      </c>
      <c r="R268" s="10" t="b">
        <f t="shared" si="360"/>
        <v>1</v>
      </c>
      <c r="S268" s="10" t="b">
        <f t="shared" si="360"/>
        <v>1</v>
      </c>
      <c r="T268" s="10" t="b">
        <f t="shared" si="360"/>
        <v>1</v>
      </c>
    </row>
    <row r="269" ht="15.75" customHeight="1">
      <c r="A269" s="5">
        <v>45078.0</v>
      </c>
      <c r="B269" s="6" t="s">
        <v>93</v>
      </c>
      <c r="C269" s="5">
        <v>45075.0</v>
      </c>
      <c r="D269" s="7">
        <v>4814.25</v>
      </c>
      <c r="E269" s="7">
        <v>5026.45</v>
      </c>
      <c r="F269" s="8">
        <v>5082.705</v>
      </c>
      <c r="G269" s="8">
        <v>5105.99</v>
      </c>
      <c r="H269" s="8">
        <v>5119.15</v>
      </c>
      <c r="I269" s="8">
        <v>5129.81857142857</v>
      </c>
      <c r="J269" s="8">
        <v>5127.2375</v>
      </c>
      <c r="K269" s="9">
        <f t="shared" si="338"/>
        <v>0.0111917954</v>
      </c>
      <c r="L269" s="9">
        <f t="shared" si="339"/>
        <v>0.01582428951</v>
      </c>
      <c r="M269" s="9">
        <f t="shared" si="340"/>
        <v>0.0184424395</v>
      </c>
      <c r="N269" s="9">
        <f t="shared" si="341"/>
        <v>0.02056492583</v>
      </c>
      <c r="O269" s="9">
        <f t="shared" si="354"/>
        <v>0.02005142795</v>
      </c>
      <c r="P269" s="10" t="b">
        <f t="shared" ref="P269:T269" si="361">F269&gt;$E269</f>
        <v>1</v>
      </c>
      <c r="Q269" s="10" t="b">
        <f t="shared" si="361"/>
        <v>1</v>
      </c>
      <c r="R269" s="10" t="b">
        <f t="shared" si="361"/>
        <v>1</v>
      </c>
      <c r="S269" s="10" t="b">
        <f t="shared" si="361"/>
        <v>1</v>
      </c>
      <c r="T269" s="10" t="b">
        <f t="shared" si="361"/>
        <v>1</v>
      </c>
    </row>
    <row r="270" ht="15.75" customHeight="1">
      <c r="A270" s="5">
        <v>45092.0</v>
      </c>
      <c r="B270" s="6" t="s">
        <v>93</v>
      </c>
      <c r="C270" s="5">
        <v>45089.0</v>
      </c>
      <c r="D270" s="7">
        <v>5218.75</v>
      </c>
      <c r="E270" s="7">
        <v>5118.75</v>
      </c>
      <c r="F270" s="8">
        <v>5149.5875</v>
      </c>
      <c r="G270" s="8">
        <v>5158.436</v>
      </c>
      <c r="H270" s="8">
        <v>5150.225</v>
      </c>
      <c r="I270" s="8">
        <v>5126.53285714285</v>
      </c>
      <c r="J270" s="8">
        <v>5095.96624999999</v>
      </c>
      <c r="K270" s="9">
        <f t="shared" si="338"/>
        <v>0.006024420024</v>
      </c>
      <c r="L270" s="9">
        <f t="shared" si="339"/>
        <v>0.007753064713</v>
      </c>
      <c r="M270" s="9">
        <f t="shared" si="340"/>
        <v>0.006148962149</v>
      </c>
      <c r="N270" s="9">
        <f t="shared" si="341"/>
        <v>0.001520460492</v>
      </c>
      <c r="O270" s="9">
        <f t="shared" si="354"/>
        <v>-0.004451037851</v>
      </c>
      <c r="P270" s="10" t="b">
        <f t="shared" ref="P270:T270" si="362">F270&gt;$E270</f>
        <v>1</v>
      </c>
      <c r="Q270" s="10" t="b">
        <f t="shared" si="362"/>
        <v>1</v>
      </c>
      <c r="R270" s="10" t="b">
        <f t="shared" si="362"/>
        <v>1</v>
      </c>
      <c r="S270" s="10" t="b">
        <f t="shared" si="362"/>
        <v>1</v>
      </c>
      <c r="T270" s="10" t="b">
        <f t="shared" si="362"/>
        <v>0</v>
      </c>
    </row>
    <row r="271" ht="15.75" customHeight="1">
      <c r="A271" s="5">
        <v>45085.0</v>
      </c>
      <c r="B271" s="6" t="s">
        <v>94</v>
      </c>
      <c r="C271" s="5">
        <v>45082.0</v>
      </c>
      <c r="D271" s="7">
        <v>220.65</v>
      </c>
      <c r="E271" s="7">
        <v>224.15</v>
      </c>
      <c r="F271" s="8">
        <v>222.705</v>
      </c>
      <c r="G271" s="8">
        <v>222.311999999999</v>
      </c>
      <c r="H271" s="8">
        <v>221.813333333333</v>
      </c>
      <c r="I271" s="8">
        <v>224.038571428571</v>
      </c>
      <c r="J271" s="8">
        <v>225.39375</v>
      </c>
      <c r="K271" s="9">
        <f t="shared" si="338"/>
        <v>-0.006446575954</v>
      </c>
      <c r="L271" s="9">
        <f t="shared" si="339"/>
        <v>-0.008199866161</v>
      </c>
      <c r="M271" s="9">
        <f t="shared" si="340"/>
        <v>-0.01042456688</v>
      </c>
      <c r="N271" s="9">
        <f t="shared" si="341"/>
        <v>-0.0004971160894</v>
      </c>
      <c r="O271" s="9">
        <f t="shared" si="354"/>
        <v>0.005548739683</v>
      </c>
      <c r="P271" s="10" t="b">
        <f t="shared" ref="P271:T271" si="363">F271&gt;$E271</f>
        <v>0</v>
      </c>
      <c r="Q271" s="10" t="b">
        <f t="shared" si="363"/>
        <v>0</v>
      </c>
      <c r="R271" s="10" t="b">
        <f t="shared" si="363"/>
        <v>0</v>
      </c>
      <c r="S271" s="10" t="b">
        <f t="shared" si="363"/>
        <v>0</v>
      </c>
      <c r="T271" s="10" t="b">
        <f t="shared" si="363"/>
        <v>1</v>
      </c>
    </row>
    <row r="272" ht="15.75" customHeight="1">
      <c r="A272" s="5">
        <v>45113.0</v>
      </c>
      <c r="B272" s="6" t="s">
        <v>94</v>
      </c>
      <c r="C272" s="5">
        <v>45110.0</v>
      </c>
      <c r="D272" s="7">
        <v>229.6</v>
      </c>
      <c r="E272" s="7">
        <v>226.3</v>
      </c>
      <c r="F272" s="8">
        <v>227.3175</v>
      </c>
      <c r="G272" s="8">
        <v>228.731999999999</v>
      </c>
      <c r="H272" s="8">
        <v>230.886666666666</v>
      </c>
      <c r="I272" s="8">
        <v>233.042857142857</v>
      </c>
      <c r="J272" s="11"/>
      <c r="K272" s="9">
        <f t="shared" si="338"/>
        <v>0.004496243924</v>
      </c>
      <c r="L272" s="9">
        <f t="shared" si="339"/>
        <v>0.01074679629</v>
      </c>
      <c r="M272" s="9">
        <f t="shared" si="340"/>
        <v>0.02026808072</v>
      </c>
      <c r="N272" s="9">
        <f t="shared" si="341"/>
        <v>0.02979609873</v>
      </c>
      <c r="O272" s="9"/>
      <c r="P272" s="10" t="b">
        <f t="shared" ref="P272:S272" si="364">F272&gt;$E272</f>
        <v>1</v>
      </c>
      <c r="Q272" s="10" t="b">
        <f t="shared" si="364"/>
        <v>1</v>
      </c>
      <c r="R272" s="10" t="b">
        <f t="shared" si="364"/>
        <v>1</v>
      </c>
      <c r="S272" s="10" t="b">
        <f t="shared" si="364"/>
        <v>1</v>
      </c>
      <c r="T272" s="10"/>
    </row>
    <row r="273" ht="15.75" customHeight="1">
      <c r="A273" s="5">
        <v>45135.0</v>
      </c>
      <c r="B273" s="6" t="s">
        <v>94</v>
      </c>
      <c r="C273" s="5">
        <v>45131.0</v>
      </c>
      <c r="D273" s="7">
        <v>234.65</v>
      </c>
      <c r="E273" s="7">
        <v>235.45</v>
      </c>
      <c r="F273" s="8">
        <v>239.336842105263</v>
      </c>
      <c r="G273" s="11"/>
      <c r="H273" s="11"/>
      <c r="I273" s="11"/>
      <c r="J273" s="11"/>
      <c r="K273" s="9">
        <f t="shared" si="338"/>
        <v>0.0165081423</v>
      </c>
      <c r="L273" s="9"/>
      <c r="M273" s="9"/>
      <c r="N273" s="9"/>
      <c r="O273" s="9"/>
      <c r="P273" s="10" t="b">
        <f>F273&gt;$E273</f>
        <v>1</v>
      </c>
      <c r="Q273" s="10"/>
      <c r="R273" s="10"/>
      <c r="S273" s="10"/>
      <c r="T273" s="10"/>
    </row>
    <row r="274" ht="15.75" customHeight="1">
      <c r="A274" s="5">
        <v>45159.0</v>
      </c>
      <c r="B274" s="6" t="s">
        <v>94</v>
      </c>
      <c r="C274" s="5">
        <v>45159.0</v>
      </c>
      <c r="D274" s="7">
        <v>239.35</v>
      </c>
      <c r="E274" s="7">
        <v>245.6</v>
      </c>
      <c r="F274" s="11"/>
      <c r="G274" s="11"/>
      <c r="H274" s="11"/>
      <c r="I274" s="11"/>
      <c r="J274" s="11"/>
      <c r="K274" s="9"/>
      <c r="L274" s="9"/>
      <c r="M274" s="9"/>
      <c r="N274" s="9"/>
      <c r="O274" s="9"/>
      <c r="P274" s="10"/>
      <c r="Q274" s="10"/>
      <c r="R274" s="10"/>
      <c r="S274" s="10"/>
      <c r="T274" s="10"/>
    </row>
    <row r="275" ht="15.75" customHeight="1">
      <c r="A275" s="5">
        <v>44958.0</v>
      </c>
      <c r="B275" s="6" t="s">
        <v>95</v>
      </c>
      <c r="C275" s="5">
        <v>44956.0</v>
      </c>
      <c r="D275" s="7">
        <v>17118.05</v>
      </c>
      <c r="E275" s="7">
        <v>17414.9</v>
      </c>
      <c r="F275" s="8">
        <v>17977.6025</v>
      </c>
      <c r="G275" s="8">
        <v>18016.986</v>
      </c>
      <c r="H275" s="8">
        <v>18052.995</v>
      </c>
      <c r="I275" s="8">
        <v>18123.4714285714</v>
      </c>
      <c r="J275" s="8">
        <v>18240.15125</v>
      </c>
      <c r="K275" s="9">
        <f t="shared" ref="K275:K283" si="366">((F275-E275)/E275)</f>
        <v>0.03231155505</v>
      </c>
      <c r="L275" s="9">
        <f t="shared" ref="L275:L283" si="367">((G275-E275)/E275)</f>
        <v>0.03457303803</v>
      </c>
      <c r="M275" s="9">
        <f t="shared" ref="M275:M282" si="368">((H275-E275)/E275)</f>
        <v>0.03664075016</v>
      </c>
      <c r="N275" s="9">
        <f t="shared" ref="N275:N282" si="369">((I275-E275)/E275)</f>
        <v>0.04068765417</v>
      </c>
      <c r="O275" s="9">
        <f t="shared" ref="O275:O282" si="370">((J275-E275)/E275)</f>
        <v>0.04738765368</v>
      </c>
      <c r="P275" s="10" t="b">
        <f t="shared" ref="P275:T275" si="365">F275&gt;$E275</f>
        <v>1</v>
      </c>
      <c r="Q275" s="10" t="b">
        <f t="shared" si="365"/>
        <v>1</v>
      </c>
      <c r="R275" s="10" t="b">
        <f t="shared" si="365"/>
        <v>1</v>
      </c>
      <c r="S275" s="10" t="b">
        <f t="shared" si="365"/>
        <v>1</v>
      </c>
      <c r="T275" s="10" t="b">
        <f t="shared" si="365"/>
        <v>1</v>
      </c>
    </row>
    <row r="276" ht="15.75" customHeight="1">
      <c r="A276" s="5">
        <v>45014.0</v>
      </c>
      <c r="B276" s="6" t="s">
        <v>95</v>
      </c>
      <c r="C276" s="5">
        <v>45012.0</v>
      </c>
      <c r="D276" s="7">
        <v>18977.15</v>
      </c>
      <c r="E276" s="7">
        <v>18795.0</v>
      </c>
      <c r="F276" s="8">
        <v>18992.225</v>
      </c>
      <c r="G276" s="8">
        <v>19035.528</v>
      </c>
      <c r="H276" s="8">
        <v>19020.245</v>
      </c>
      <c r="I276" s="8">
        <v>18969.0957142857</v>
      </c>
      <c r="J276" s="8">
        <v>18939.7987499999</v>
      </c>
      <c r="K276" s="9">
        <f t="shared" si="366"/>
        <v>0.01049348231</v>
      </c>
      <c r="L276" s="9">
        <f t="shared" si="367"/>
        <v>0.01279744613</v>
      </c>
      <c r="M276" s="9">
        <f t="shared" si="368"/>
        <v>0.01198430434</v>
      </c>
      <c r="N276" s="9">
        <f t="shared" si="369"/>
        <v>0.009262873865</v>
      </c>
      <c r="O276" s="9">
        <f t="shared" si="370"/>
        <v>0.007704110136</v>
      </c>
      <c r="P276" s="10" t="b">
        <f t="shared" ref="P276:T276" si="371">F276&gt;$E276</f>
        <v>1</v>
      </c>
      <c r="Q276" s="10" t="b">
        <f t="shared" si="371"/>
        <v>1</v>
      </c>
      <c r="R276" s="10" t="b">
        <f t="shared" si="371"/>
        <v>1</v>
      </c>
      <c r="S276" s="10" t="b">
        <f t="shared" si="371"/>
        <v>1</v>
      </c>
      <c r="T276" s="10" t="b">
        <f t="shared" si="371"/>
        <v>1</v>
      </c>
    </row>
    <row r="277" ht="15.75" customHeight="1">
      <c r="A277" s="5">
        <v>45043.0</v>
      </c>
      <c r="B277" s="6" t="s">
        <v>95</v>
      </c>
      <c r="C277" s="5">
        <v>45040.0</v>
      </c>
      <c r="D277" s="7">
        <v>19117.8</v>
      </c>
      <c r="E277" s="7">
        <v>19193.25</v>
      </c>
      <c r="F277" s="8">
        <v>18955.355</v>
      </c>
      <c r="G277" s="8">
        <v>18934.032</v>
      </c>
      <c r="H277" s="8">
        <v>18942.025</v>
      </c>
      <c r="I277" s="8">
        <v>18952.5642857142</v>
      </c>
      <c r="J277" s="8">
        <v>18918.31625</v>
      </c>
      <c r="K277" s="9">
        <f t="shared" si="366"/>
        <v>-0.0123947221</v>
      </c>
      <c r="L277" s="9">
        <f t="shared" si="367"/>
        <v>-0.01350568559</v>
      </c>
      <c r="M277" s="9">
        <f t="shared" si="368"/>
        <v>-0.0130892371</v>
      </c>
      <c r="N277" s="9">
        <f t="shared" si="369"/>
        <v>-0.01254012292</v>
      </c>
      <c r="O277" s="9">
        <f t="shared" si="370"/>
        <v>-0.0143245021</v>
      </c>
      <c r="P277" s="10" t="b">
        <f t="shared" ref="P277:T277" si="372">F277&gt;$E277</f>
        <v>0</v>
      </c>
      <c r="Q277" s="10" t="b">
        <f t="shared" si="372"/>
        <v>0</v>
      </c>
      <c r="R277" s="10" t="b">
        <f t="shared" si="372"/>
        <v>0</v>
      </c>
      <c r="S277" s="10" t="b">
        <f t="shared" si="372"/>
        <v>0</v>
      </c>
      <c r="T277" s="10" t="b">
        <f t="shared" si="372"/>
        <v>0</v>
      </c>
    </row>
    <row r="278" ht="15.75" customHeight="1">
      <c r="A278" s="5">
        <v>45090.0</v>
      </c>
      <c r="B278" s="6" t="s">
        <v>96</v>
      </c>
      <c r="C278" s="5">
        <v>45089.0</v>
      </c>
      <c r="D278" s="7">
        <v>557.62</v>
      </c>
      <c r="E278" s="7">
        <v>563.0</v>
      </c>
      <c r="F278" s="8">
        <v>561.5175</v>
      </c>
      <c r="G278" s="8">
        <v>563.234</v>
      </c>
      <c r="H278" s="8">
        <v>564.139666666666</v>
      </c>
      <c r="I278" s="8">
        <v>567.618285714285</v>
      </c>
      <c r="J278" s="8">
        <v>569.37325</v>
      </c>
      <c r="K278" s="9">
        <f t="shared" si="366"/>
        <v>-0.00263321492</v>
      </c>
      <c r="L278" s="9">
        <f t="shared" si="367"/>
        <v>0.0004156305506</v>
      </c>
      <c r="M278" s="9">
        <f t="shared" si="368"/>
        <v>0.002024274719</v>
      </c>
      <c r="N278" s="9">
        <f t="shared" si="369"/>
        <v>0.008202994164</v>
      </c>
      <c r="O278" s="9">
        <f t="shared" si="370"/>
        <v>0.01132015986</v>
      </c>
      <c r="P278" s="10" t="b">
        <f t="shared" ref="P278:T278" si="373">F278&gt;$E278</f>
        <v>0</v>
      </c>
      <c r="Q278" s="10" t="b">
        <f t="shared" si="373"/>
        <v>1</v>
      </c>
      <c r="R278" s="10" t="b">
        <f t="shared" si="373"/>
        <v>1</v>
      </c>
      <c r="S278" s="10" t="b">
        <f t="shared" si="373"/>
        <v>1</v>
      </c>
      <c r="T278" s="10" t="b">
        <f t="shared" si="373"/>
        <v>1</v>
      </c>
    </row>
    <row r="279" ht="15.75" customHeight="1">
      <c r="A279" s="5">
        <v>45027.0</v>
      </c>
      <c r="B279" s="6" t="s">
        <v>97</v>
      </c>
      <c r="C279" s="5">
        <v>45026.0</v>
      </c>
      <c r="D279" s="7">
        <v>562.9</v>
      </c>
      <c r="E279" s="7">
        <v>566.5</v>
      </c>
      <c r="F279" s="8">
        <v>578.5425</v>
      </c>
      <c r="G279" s="8">
        <v>566.93</v>
      </c>
      <c r="H279" s="8">
        <v>559.201666666666</v>
      </c>
      <c r="I279" s="8">
        <v>554.05</v>
      </c>
      <c r="J279" s="8">
        <v>551.13375</v>
      </c>
      <c r="K279" s="9">
        <f t="shared" si="366"/>
        <v>0.02125772286</v>
      </c>
      <c r="L279" s="9">
        <f t="shared" si="367"/>
        <v>0.0007590467785</v>
      </c>
      <c r="M279" s="9">
        <f t="shared" si="368"/>
        <v>-0.01288320094</v>
      </c>
      <c r="N279" s="9">
        <f t="shared" si="369"/>
        <v>-0.02197705207</v>
      </c>
      <c r="O279" s="9">
        <f t="shared" si="370"/>
        <v>-0.02712488967</v>
      </c>
      <c r="P279" s="10" t="b">
        <f t="shared" ref="P279:T279" si="374">F279&gt;$E279</f>
        <v>1</v>
      </c>
      <c r="Q279" s="10" t="b">
        <f t="shared" si="374"/>
        <v>1</v>
      </c>
      <c r="R279" s="10" t="b">
        <f t="shared" si="374"/>
        <v>0</v>
      </c>
      <c r="S279" s="10" t="b">
        <f t="shared" si="374"/>
        <v>0</v>
      </c>
      <c r="T279" s="10" t="b">
        <f t="shared" si="374"/>
        <v>0</v>
      </c>
    </row>
    <row r="280" ht="15.75" customHeight="1">
      <c r="A280" s="5">
        <v>45035.0</v>
      </c>
      <c r="B280" s="6" t="s">
        <v>97</v>
      </c>
      <c r="C280" s="5">
        <v>45033.0</v>
      </c>
      <c r="D280" s="7">
        <v>579.85</v>
      </c>
      <c r="E280" s="7">
        <v>575.65</v>
      </c>
      <c r="F280" s="8">
        <v>564.1775</v>
      </c>
      <c r="G280" s="8">
        <v>555.454</v>
      </c>
      <c r="H280" s="8">
        <v>550.068333333333</v>
      </c>
      <c r="I280" s="8">
        <v>547.304285714285</v>
      </c>
      <c r="J280" s="8">
        <v>549.726249999999</v>
      </c>
      <c r="K280" s="9">
        <f t="shared" si="366"/>
        <v>-0.01992964475</v>
      </c>
      <c r="L280" s="9">
        <f t="shared" si="367"/>
        <v>-0.03508381829</v>
      </c>
      <c r="M280" s="9">
        <f t="shared" si="368"/>
        <v>-0.04443961898</v>
      </c>
      <c r="N280" s="9">
        <f t="shared" si="369"/>
        <v>-0.04924123041</v>
      </c>
      <c r="O280" s="9">
        <f t="shared" si="370"/>
        <v>-0.04503387475</v>
      </c>
      <c r="P280" s="10" t="b">
        <f t="shared" ref="P280:T280" si="375">F280&gt;$E280</f>
        <v>0</v>
      </c>
      <c r="Q280" s="10" t="b">
        <f t="shared" si="375"/>
        <v>0</v>
      </c>
      <c r="R280" s="10" t="b">
        <f t="shared" si="375"/>
        <v>0</v>
      </c>
      <c r="S280" s="10" t="b">
        <f t="shared" si="375"/>
        <v>0</v>
      </c>
      <c r="T280" s="10" t="b">
        <f t="shared" si="375"/>
        <v>0</v>
      </c>
    </row>
    <row r="281" ht="15.75" customHeight="1">
      <c r="A281" s="5">
        <v>45093.0</v>
      </c>
      <c r="B281" s="6" t="s">
        <v>97</v>
      </c>
      <c r="C281" s="5">
        <v>45089.0</v>
      </c>
      <c r="D281" s="7">
        <v>544.2</v>
      </c>
      <c r="E281" s="7">
        <v>584.1</v>
      </c>
      <c r="F281" s="8">
        <v>613.055</v>
      </c>
      <c r="G281" s="8">
        <v>621.514</v>
      </c>
      <c r="H281" s="8">
        <v>627.378333333333</v>
      </c>
      <c r="I281" s="8">
        <v>634.008571428571</v>
      </c>
      <c r="J281" s="8">
        <v>636.00875</v>
      </c>
      <c r="K281" s="9">
        <f t="shared" si="366"/>
        <v>0.0495719911</v>
      </c>
      <c r="L281" s="9">
        <f t="shared" si="367"/>
        <v>0.06405410033</v>
      </c>
      <c r="M281" s="9">
        <f t="shared" si="368"/>
        <v>0.07409404782</v>
      </c>
      <c r="N281" s="9">
        <f t="shared" si="369"/>
        <v>0.08544525155</v>
      </c>
      <c r="O281" s="9">
        <f t="shared" si="370"/>
        <v>0.08886962849</v>
      </c>
      <c r="P281" s="10" t="b">
        <f t="shared" ref="P281:T281" si="376">F281&gt;$E281</f>
        <v>1</v>
      </c>
      <c r="Q281" s="10" t="b">
        <f t="shared" si="376"/>
        <v>1</v>
      </c>
      <c r="R281" s="10" t="b">
        <f t="shared" si="376"/>
        <v>1</v>
      </c>
      <c r="S281" s="10" t="b">
        <f t="shared" si="376"/>
        <v>1</v>
      </c>
      <c r="T281" s="10" t="b">
        <f t="shared" si="376"/>
        <v>1</v>
      </c>
    </row>
    <row r="282" ht="15.75" customHeight="1">
      <c r="A282" s="5">
        <v>45110.0</v>
      </c>
      <c r="B282" s="6" t="s">
        <v>97</v>
      </c>
      <c r="C282" s="5">
        <v>45110.0</v>
      </c>
      <c r="D282" s="7">
        <v>595.05</v>
      </c>
      <c r="E282" s="7">
        <v>610.2</v>
      </c>
      <c r="F282" s="8">
        <v>644.3725</v>
      </c>
      <c r="G282" s="8">
        <v>650.256</v>
      </c>
      <c r="H282" s="8">
        <v>650.215</v>
      </c>
      <c r="I282" s="8">
        <v>650.354285714285</v>
      </c>
      <c r="J282" s="8">
        <v>652.547368421052</v>
      </c>
      <c r="K282" s="9">
        <f t="shared" si="366"/>
        <v>0.05600213045</v>
      </c>
      <c r="L282" s="9">
        <f t="shared" si="367"/>
        <v>0.06564405113</v>
      </c>
      <c r="M282" s="9">
        <f t="shared" si="368"/>
        <v>0.06557686005</v>
      </c>
      <c r="N282" s="9">
        <f t="shared" si="369"/>
        <v>0.06580512244</v>
      </c>
      <c r="O282" s="9">
        <f t="shared" si="370"/>
        <v>0.06939916162</v>
      </c>
      <c r="P282" s="10" t="b">
        <f t="shared" ref="P282:T282" si="377">F282&gt;$E282</f>
        <v>1</v>
      </c>
      <c r="Q282" s="10" t="b">
        <f t="shared" si="377"/>
        <v>1</v>
      </c>
      <c r="R282" s="10" t="b">
        <f t="shared" si="377"/>
        <v>1</v>
      </c>
      <c r="S282" s="10" t="b">
        <f t="shared" si="377"/>
        <v>1</v>
      </c>
      <c r="T282" s="10" t="b">
        <f t="shared" si="377"/>
        <v>1</v>
      </c>
    </row>
    <row r="283" ht="15.75" customHeight="1">
      <c r="A283" s="5">
        <v>45132.0</v>
      </c>
      <c r="B283" s="6" t="s">
        <v>97</v>
      </c>
      <c r="C283" s="5">
        <v>45131.0</v>
      </c>
      <c r="D283" s="7">
        <v>664.7</v>
      </c>
      <c r="E283" s="7">
        <v>668.75</v>
      </c>
      <c r="F283" s="8">
        <v>658.3</v>
      </c>
      <c r="G283" s="8">
        <v>660.186363636363</v>
      </c>
      <c r="H283" s="11"/>
      <c r="I283" s="11"/>
      <c r="J283" s="11"/>
      <c r="K283" s="9">
        <f t="shared" si="366"/>
        <v>-0.01562616822</v>
      </c>
      <c r="L283" s="9">
        <f t="shared" si="367"/>
        <v>-0.01280543755</v>
      </c>
      <c r="M283" s="9"/>
      <c r="N283" s="9"/>
      <c r="O283" s="9"/>
      <c r="P283" s="10" t="b">
        <f t="shared" ref="P283:Q283" si="378">F283&gt;$E283</f>
        <v>0</v>
      </c>
      <c r="Q283" s="10" t="b">
        <f t="shared" si="378"/>
        <v>0</v>
      </c>
      <c r="R283" s="10"/>
      <c r="S283" s="10"/>
      <c r="T283" s="10"/>
    </row>
    <row r="284" ht="15.75" customHeight="1">
      <c r="A284" s="5">
        <v>45167.0</v>
      </c>
      <c r="B284" s="6" t="s">
        <v>97</v>
      </c>
      <c r="C284" s="5">
        <v>45166.0</v>
      </c>
      <c r="D284" s="7">
        <v>676.3</v>
      </c>
      <c r="E284" s="12"/>
      <c r="F284" s="11"/>
      <c r="G284" s="11"/>
      <c r="H284" s="11"/>
      <c r="I284" s="11"/>
      <c r="J284" s="11"/>
      <c r="K284" s="9"/>
      <c r="L284" s="9"/>
      <c r="M284" s="9"/>
      <c r="N284" s="9"/>
      <c r="O284" s="9"/>
      <c r="P284" s="10"/>
      <c r="Q284" s="10"/>
      <c r="R284" s="10"/>
      <c r="S284" s="10"/>
      <c r="T284" s="10"/>
    </row>
    <row r="285" ht="15.75" customHeight="1">
      <c r="A285" s="5">
        <v>44999.0</v>
      </c>
      <c r="B285" s="6" t="s">
        <v>98</v>
      </c>
      <c r="C285" s="5">
        <v>44998.0</v>
      </c>
      <c r="D285" s="7">
        <v>768.35</v>
      </c>
      <c r="E285" s="7">
        <v>765.85</v>
      </c>
      <c r="F285" s="8">
        <v>758.575</v>
      </c>
      <c r="G285" s="8">
        <v>761.175999999999</v>
      </c>
      <c r="H285" s="8">
        <v>765.3</v>
      </c>
      <c r="I285" s="8">
        <v>769.785714285714</v>
      </c>
      <c r="J285" s="8">
        <v>774.47</v>
      </c>
      <c r="K285" s="9">
        <f t="shared" ref="K285:K314" si="380">((F285-E285)/E285)</f>
        <v>-0.0094992492</v>
      </c>
      <c r="L285" s="9">
        <f t="shared" ref="L285:L303" si="381">((G285-E285)/E285)</f>
        <v>-0.006103022785</v>
      </c>
      <c r="M285" s="9">
        <f t="shared" ref="M285:M303" si="382">((H285-E285)/E285)</f>
        <v>-0.0007181562969</v>
      </c>
      <c r="N285" s="9">
        <f t="shared" ref="N285:N302" si="383">((I285-E285)/E285)</f>
        <v>0.00513901454</v>
      </c>
      <c r="O285" s="9">
        <f t="shared" ref="O285:O302" si="384">((J285-E285)/E285)</f>
        <v>0.01125546778</v>
      </c>
      <c r="P285" s="10" t="b">
        <f t="shared" ref="P285:T285" si="379">F285&gt;$E285</f>
        <v>0</v>
      </c>
      <c r="Q285" s="10" t="b">
        <f t="shared" si="379"/>
        <v>0</v>
      </c>
      <c r="R285" s="10" t="b">
        <f t="shared" si="379"/>
        <v>0</v>
      </c>
      <c r="S285" s="10" t="b">
        <f t="shared" si="379"/>
        <v>1</v>
      </c>
      <c r="T285" s="10" t="b">
        <f t="shared" si="379"/>
        <v>1</v>
      </c>
    </row>
    <row r="286" ht="15.75" customHeight="1">
      <c r="A286" s="5">
        <v>44971.0</v>
      </c>
      <c r="B286" s="6" t="s">
        <v>99</v>
      </c>
      <c r="C286" s="5">
        <v>44970.0</v>
      </c>
      <c r="D286" s="7">
        <v>761.6</v>
      </c>
      <c r="E286" s="7">
        <v>757.95</v>
      </c>
      <c r="F286" s="8">
        <v>714.31</v>
      </c>
      <c r="G286" s="8">
        <v>712.97</v>
      </c>
      <c r="H286" s="8">
        <v>714.579999999999</v>
      </c>
      <c r="I286" s="8">
        <v>718.049999999999</v>
      </c>
      <c r="J286" s="8">
        <v>720.073749999999</v>
      </c>
      <c r="K286" s="9">
        <f t="shared" si="380"/>
        <v>-0.05757635728</v>
      </c>
      <c r="L286" s="9">
        <f t="shared" si="381"/>
        <v>-0.05934428392</v>
      </c>
      <c r="M286" s="9">
        <f t="shared" si="382"/>
        <v>-0.05722013325</v>
      </c>
      <c r="N286" s="9">
        <f t="shared" si="383"/>
        <v>-0.05264199485</v>
      </c>
      <c r="O286" s="9">
        <f t="shared" si="384"/>
        <v>-0.04997196385</v>
      </c>
      <c r="P286" s="10" t="b">
        <f t="shared" ref="P286:T286" si="385">F286&gt;$E286</f>
        <v>0</v>
      </c>
      <c r="Q286" s="10" t="b">
        <f t="shared" si="385"/>
        <v>0</v>
      </c>
      <c r="R286" s="10" t="b">
        <f t="shared" si="385"/>
        <v>0</v>
      </c>
      <c r="S286" s="10" t="b">
        <f t="shared" si="385"/>
        <v>0</v>
      </c>
      <c r="T286" s="10" t="b">
        <f t="shared" si="385"/>
        <v>0</v>
      </c>
    </row>
    <row r="287" ht="15.75" customHeight="1">
      <c r="A287" s="5">
        <v>45068.0</v>
      </c>
      <c r="B287" s="6" t="s">
        <v>100</v>
      </c>
      <c r="C287" s="5">
        <v>45068.0</v>
      </c>
      <c r="D287" s="7">
        <v>444.3</v>
      </c>
      <c r="E287" s="7">
        <v>450.4</v>
      </c>
      <c r="F287" s="8">
        <v>426.875</v>
      </c>
      <c r="G287" s="8">
        <v>422.948</v>
      </c>
      <c r="H287" s="8">
        <v>420.005</v>
      </c>
      <c r="I287" s="8">
        <v>417.251428571428</v>
      </c>
      <c r="J287" s="8">
        <v>415.275</v>
      </c>
      <c r="K287" s="9">
        <f t="shared" si="380"/>
        <v>-0.05223134991</v>
      </c>
      <c r="L287" s="9">
        <f t="shared" si="381"/>
        <v>-0.06095026643</v>
      </c>
      <c r="M287" s="9">
        <f t="shared" si="382"/>
        <v>-0.06748445826</v>
      </c>
      <c r="N287" s="9">
        <f t="shared" si="383"/>
        <v>-0.07359807156</v>
      </c>
      <c r="O287" s="9">
        <f t="shared" si="384"/>
        <v>-0.07798623446</v>
      </c>
      <c r="P287" s="10" t="b">
        <f t="shared" ref="P287:T287" si="386">F287&gt;$E287</f>
        <v>0</v>
      </c>
      <c r="Q287" s="10" t="b">
        <f t="shared" si="386"/>
        <v>0</v>
      </c>
      <c r="R287" s="10" t="b">
        <f t="shared" si="386"/>
        <v>0</v>
      </c>
      <c r="S287" s="10" t="b">
        <f t="shared" si="386"/>
        <v>0</v>
      </c>
      <c r="T287" s="10" t="b">
        <f t="shared" si="386"/>
        <v>0</v>
      </c>
    </row>
    <row r="288" ht="15.75" customHeight="1">
      <c r="A288" s="5">
        <v>45021.0</v>
      </c>
      <c r="B288" s="6" t="s">
        <v>101</v>
      </c>
      <c r="C288" s="5">
        <v>45019.0</v>
      </c>
      <c r="D288" s="7">
        <v>1093.05</v>
      </c>
      <c r="E288" s="7">
        <v>1090.85</v>
      </c>
      <c r="F288" s="8">
        <v>1087.46</v>
      </c>
      <c r="G288" s="8">
        <v>1090.378</v>
      </c>
      <c r="H288" s="8">
        <v>1089.72166666666</v>
      </c>
      <c r="I288" s="8">
        <v>1105.92857142857</v>
      </c>
      <c r="J288" s="8">
        <v>1122.425</v>
      </c>
      <c r="K288" s="9">
        <f t="shared" si="380"/>
        <v>-0.003107668332</v>
      </c>
      <c r="L288" s="9">
        <f t="shared" si="381"/>
        <v>-0.000432690104</v>
      </c>
      <c r="M288" s="9">
        <f t="shared" si="382"/>
        <v>-0.001034361583</v>
      </c>
      <c r="N288" s="9">
        <f t="shared" si="383"/>
        <v>0.01382277254</v>
      </c>
      <c r="O288" s="9">
        <f t="shared" si="384"/>
        <v>0.02894531787</v>
      </c>
      <c r="P288" s="10" t="b">
        <f t="shared" ref="P288:T288" si="387">F288&gt;$E288</f>
        <v>0</v>
      </c>
      <c r="Q288" s="10" t="b">
        <f t="shared" si="387"/>
        <v>0</v>
      </c>
      <c r="R288" s="10" t="b">
        <f t="shared" si="387"/>
        <v>0</v>
      </c>
      <c r="S288" s="10" t="b">
        <f t="shared" si="387"/>
        <v>1</v>
      </c>
      <c r="T288" s="10" t="b">
        <f t="shared" si="387"/>
        <v>1</v>
      </c>
    </row>
    <row r="289" ht="15.75" customHeight="1">
      <c r="A289" s="5">
        <v>45044.0</v>
      </c>
      <c r="B289" s="6" t="s">
        <v>102</v>
      </c>
      <c r="C289" s="5">
        <v>45040.0</v>
      </c>
      <c r="D289" s="7">
        <v>1652.3</v>
      </c>
      <c r="E289" s="7">
        <v>1649.75</v>
      </c>
      <c r="F289" s="8">
        <v>1690.2475</v>
      </c>
      <c r="G289" s="8">
        <v>1710.964</v>
      </c>
      <c r="H289" s="8">
        <v>1730.85</v>
      </c>
      <c r="I289" s="8">
        <v>1749.46285714285</v>
      </c>
      <c r="J289" s="8">
        <v>1766.28999999999</v>
      </c>
      <c r="K289" s="9">
        <f t="shared" si="380"/>
        <v>0.02454765874</v>
      </c>
      <c r="L289" s="9">
        <f t="shared" si="381"/>
        <v>0.03710501591</v>
      </c>
      <c r="M289" s="9">
        <f t="shared" si="382"/>
        <v>0.04915896348</v>
      </c>
      <c r="N289" s="9">
        <f t="shared" si="383"/>
        <v>0.06044119239</v>
      </c>
      <c r="O289" s="9">
        <f t="shared" si="384"/>
        <v>0.07064100621</v>
      </c>
      <c r="P289" s="10" t="b">
        <f t="shared" ref="P289:T289" si="388">F289&gt;$E289</f>
        <v>1</v>
      </c>
      <c r="Q289" s="10" t="b">
        <f t="shared" si="388"/>
        <v>1</v>
      </c>
      <c r="R289" s="10" t="b">
        <f t="shared" si="388"/>
        <v>1</v>
      </c>
      <c r="S289" s="10" t="b">
        <f t="shared" si="388"/>
        <v>1</v>
      </c>
      <c r="T289" s="10" t="b">
        <f t="shared" si="388"/>
        <v>1</v>
      </c>
    </row>
    <row r="290" ht="15.75" customHeight="1">
      <c r="A290" s="5">
        <v>45071.0</v>
      </c>
      <c r="B290" s="6" t="s">
        <v>102</v>
      </c>
      <c r="C290" s="5">
        <v>45068.0</v>
      </c>
      <c r="D290" s="7">
        <v>1701.35</v>
      </c>
      <c r="E290" s="7">
        <v>1835.8</v>
      </c>
      <c r="F290" s="8">
        <v>1831.5125</v>
      </c>
      <c r="G290" s="8">
        <v>1843.462</v>
      </c>
      <c r="H290" s="8">
        <v>1858.18833333333</v>
      </c>
      <c r="I290" s="8">
        <v>1868.87428571428</v>
      </c>
      <c r="J290" s="8">
        <v>1881.92999999999</v>
      </c>
      <c r="K290" s="9">
        <f t="shared" si="380"/>
        <v>-0.002335494063</v>
      </c>
      <c r="L290" s="9">
        <f t="shared" si="381"/>
        <v>0.004173657261</v>
      </c>
      <c r="M290" s="9">
        <f t="shared" si="382"/>
        <v>0.01219540981</v>
      </c>
      <c r="N290" s="9">
        <f t="shared" si="383"/>
        <v>0.0180162794</v>
      </c>
      <c r="O290" s="9">
        <f t="shared" si="384"/>
        <v>0.02512800959</v>
      </c>
      <c r="P290" s="10" t="b">
        <f t="shared" ref="P290:T290" si="389">F290&gt;$E290</f>
        <v>0</v>
      </c>
      <c r="Q290" s="10" t="b">
        <f t="shared" si="389"/>
        <v>1</v>
      </c>
      <c r="R290" s="10" t="b">
        <f t="shared" si="389"/>
        <v>1</v>
      </c>
      <c r="S290" s="10" t="b">
        <f t="shared" si="389"/>
        <v>1</v>
      </c>
      <c r="T290" s="10" t="b">
        <f t="shared" si="389"/>
        <v>1</v>
      </c>
    </row>
    <row r="291" ht="15.75" customHeight="1">
      <c r="A291" s="5">
        <v>45077.0</v>
      </c>
      <c r="B291" s="6" t="s">
        <v>102</v>
      </c>
      <c r="C291" s="5">
        <v>45075.0</v>
      </c>
      <c r="D291" s="7">
        <v>1835.8</v>
      </c>
      <c r="E291" s="7">
        <v>1788.1</v>
      </c>
      <c r="F291" s="8">
        <v>1853.435</v>
      </c>
      <c r="G291" s="8">
        <v>1867.394</v>
      </c>
      <c r="H291" s="8">
        <v>1878.54166666666</v>
      </c>
      <c r="I291" s="8">
        <v>1890.60857142857</v>
      </c>
      <c r="J291" s="8">
        <v>1902.73874999999</v>
      </c>
      <c r="K291" s="9">
        <f t="shared" si="380"/>
        <v>0.03653878418</v>
      </c>
      <c r="L291" s="9">
        <f t="shared" si="381"/>
        <v>0.04434539455</v>
      </c>
      <c r="M291" s="9">
        <f t="shared" si="382"/>
        <v>0.05057975878</v>
      </c>
      <c r="N291" s="9">
        <f t="shared" si="383"/>
        <v>0.05732820951</v>
      </c>
      <c r="O291" s="9">
        <f t="shared" si="384"/>
        <v>0.06411204631</v>
      </c>
      <c r="P291" s="10" t="b">
        <f t="shared" ref="P291:T291" si="390">F291&gt;$E291</f>
        <v>1</v>
      </c>
      <c r="Q291" s="10" t="b">
        <f t="shared" si="390"/>
        <v>1</v>
      </c>
      <c r="R291" s="10" t="b">
        <f t="shared" si="390"/>
        <v>1</v>
      </c>
      <c r="S291" s="10" t="b">
        <f t="shared" si="390"/>
        <v>1</v>
      </c>
      <c r="T291" s="10" t="b">
        <f t="shared" si="390"/>
        <v>1</v>
      </c>
    </row>
    <row r="292" ht="15.75" customHeight="1">
      <c r="A292" s="5">
        <v>45029.0</v>
      </c>
      <c r="B292" s="6" t="s">
        <v>103</v>
      </c>
      <c r="C292" s="5">
        <v>45026.0</v>
      </c>
      <c r="D292" s="7">
        <v>291.25</v>
      </c>
      <c r="E292" s="7">
        <v>296.65</v>
      </c>
      <c r="F292" s="8">
        <v>307.155</v>
      </c>
      <c r="G292" s="8">
        <v>306.082</v>
      </c>
      <c r="H292" s="8">
        <v>306.656666666666</v>
      </c>
      <c r="I292" s="8">
        <v>307.478571428571</v>
      </c>
      <c r="J292" s="8">
        <v>307.41375</v>
      </c>
      <c r="K292" s="9">
        <f t="shared" si="380"/>
        <v>0.0354121018</v>
      </c>
      <c r="L292" s="9">
        <f t="shared" si="381"/>
        <v>0.03179504467</v>
      </c>
      <c r="M292" s="9">
        <f t="shared" si="382"/>
        <v>0.03373223215</v>
      </c>
      <c r="N292" s="9">
        <f t="shared" si="383"/>
        <v>0.03650285329</v>
      </c>
      <c r="O292" s="9">
        <f t="shared" si="384"/>
        <v>0.03628434182</v>
      </c>
      <c r="P292" s="10" t="b">
        <f t="shared" ref="P292:T292" si="391">F292&gt;$E292</f>
        <v>1</v>
      </c>
      <c r="Q292" s="10" t="b">
        <f t="shared" si="391"/>
        <v>1</v>
      </c>
      <c r="R292" s="10" t="b">
        <f t="shared" si="391"/>
        <v>1</v>
      </c>
      <c r="S292" s="10" t="b">
        <f t="shared" si="391"/>
        <v>1</v>
      </c>
      <c r="T292" s="10" t="b">
        <f t="shared" si="391"/>
        <v>1</v>
      </c>
    </row>
    <row r="293" ht="15.75" customHeight="1">
      <c r="A293" s="5">
        <v>45079.0</v>
      </c>
      <c r="B293" s="6" t="s">
        <v>103</v>
      </c>
      <c r="C293" s="5">
        <v>45075.0</v>
      </c>
      <c r="D293" s="7">
        <v>313.75</v>
      </c>
      <c r="E293" s="7">
        <v>312.3</v>
      </c>
      <c r="F293" s="8">
        <v>308.532499999999</v>
      </c>
      <c r="G293" s="8">
        <v>312.66</v>
      </c>
      <c r="H293" s="8">
        <v>316.508333333333</v>
      </c>
      <c r="I293" s="8">
        <v>319.804285714285</v>
      </c>
      <c r="J293" s="8">
        <v>321.534999999999</v>
      </c>
      <c r="K293" s="9">
        <f t="shared" si="380"/>
        <v>-0.01206372078</v>
      </c>
      <c r="L293" s="9">
        <f t="shared" si="381"/>
        <v>0.001152737752</v>
      </c>
      <c r="M293" s="9">
        <f t="shared" si="382"/>
        <v>0.01347529085</v>
      </c>
      <c r="N293" s="9">
        <f t="shared" si="383"/>
        <v>0.02402909291</v>
      </c>
      <c r="O293" s="9">
        <f t="shared" si="384"/>
        <v>0.02957092539</v>
      </c>
      <c r="P293" s="10" t="b">
        <f t="shared" ref="P293:T293" si="392">F293&gt;$E293</f>
        <v>0</v>
      </c>
      <c r="Q293" s="10" t="b">
        <f t="shared" si="392"/>
        <v>1</v>
      </c>
      <c r="R293" s="10" t="b">
        <f t="shared" si="392"/>
        <v>1</v>
      </c>
      <c r="S293" s="10" t="b">
        <f t="shared" si="392"/>
        <v>1</v>
      </c>
      <c r="T293" s="10" t="b">
        <f t="shared" si="392"/>
        <v>1</v>
      </c>
    </row>
    <row r="294" ht="15.75" customHeight="1">
      <c r="A294" s="5">
        <v>45110.0</v>
      </c>
      <c r="B294" s="6" t="s">
        <v>103</v>
      </c>
      <c r="C294" s="5">
        <v>45110.0</v>
      </c>
      <c r="D294" s="7">
        <v>318.5</v>
      </c>
      <c r="E294" s="7">
        <v>333.7</v>
      </c>
      <c r="F294" s="8">
        <v>334.5375</v>
      </c>
      <c r="G294" s="8">
        <v>334.304</v>
      </c>
      <c r="H294" s="8">
        <v>333.38</v>
      </c>
      <c r="I294" s="8">
        <v>332.691428571428</v>
      </c>
      <c r="J294" s="8">
        <v>332.019736842105</v>
      </c>
      <c r="K294" s="9">
        <f t="shared" si="380"/>
        <v>0.002509739287</v>
      </c>
      <c r="L294" s="9">
        <f t="shared" si="381"/>
        <v>0.00181000899</v>
      </c>
      <c r="M294" s="9">
        <f t="shared" si="382"/>
        <v>-0.0009589451603</v>
      </c>
      <c r="N294" s="9">
        <f t="shared" si="383"/>
        <v>-0.003022389657</v>
      </c>
      <c r="O294" s="9">
        <f t="shared" si="384"/>
        <v>-0.005035250698</v>
      </c>
      <c r="P294" s="10" t="b">
        <f t="shared" ref="P294:T294" si="393">F294&gt;$E294</f>
        <v>1</v>
      </c>
      <c r="Q294" s="10" t="b">
        <f t="shared" si="393"/>
        <v>1</v>
      </c>
      <c r="R294" s="10" t="b">
        <f t="shared" si="393"/>
        <v>0</v>
      </c>
      <c r="S294" s="10" t="b">
        <f t="shared" si="393"/>
        <v>0</v>
      </c>
      <c r="T294" s="10" t="b">
        <f t="shared" si="393"/>
        <v>0</v>
      </c>
    </row>
    <row r="295" ht="15.75" customHeight="1">
      <c r="A295" s="5">
        <v>45110.0</v>
      </c>
      <c r="B295" s="6" t="s">
        <v>104</v>
      </c>
      <c r="C295" s="5">
        <v>45110.0</v>
      </c>
      <c r="D295" s="7">
        <v>53.85</v>
      </c>
      <c r="E295" s="7">
        <v>60.4</v>
      </c>
      <c r="F295" s="8">
        <v>61.46</v>
      </c>
      <c r="G295" s="8">
        <v>61.4839999999999</v>
      </c>
      <c r="H295" s="8">
        <v>61.6516666666666</v>
      </c>
      <c r="I295" s="8">
        <v>61.7771428571428</v>
      </c>
      <c r="J295" s="8">
        <v>61.8842105263158</v>
      </c>
      <c r="K295" s="9">
        <f t="shared" si="380"/>
        <v>0.01754966887</v>
      </c>
      <c r="L295" s="9">
        <f t="shared" si="381"/>
        <v>0.01794701987</v>
      </c>
      <c r="M295" s="9">
        <f t="shared" si="382"/>
        <v>0.02072295806</v>
      </c>
      <c r="N295" s="9">
        <f t="shared" si="383"/>
        <v>0.02280037843</v>
      </c>
      <c r="O295" s="9">
        <f t="shared" si="384"/>
        <v>0.02457302196</v>
      </c>
      <c r="P295" s="10" t="b">
        <f t="shared" ref="P295:T295" si="394">F295&gt;$E295</f>
        <v>1</v>
      </c>
      <c r="Q295" s="10" t="b">
        <f t="shared" si="394"/>
        <v>1</v>
      </c>
      <c r="R295" s="10" t="b">
        <f t="shared" si="394"/>
        <v>1</v>
      </c>
      <c r="S295" s="10" t="b">
        <f t="shared" si="394"/>
        <v>1</v>
      </c>
      <c r="T295" s="10" t="b">
        <f t="shared" si="394"/>
        <v>1</v>
      </c>
    </row>
    <row r="296" ht="15.75" customHeight="1">
      <c r="A296" s="5">
        <v>44951.0</v>
      </c>
      <c r="B296" s="6" t="s">
        <v>105</v>
      </c>
      <c r="C296" s="5">
        <v>44949.0</v>
      </c>
      <c r="D296" s="7">
        <v>1037.9</v>
      </c>
      <c r="E296" s="7">
        <v>1018.35</v>
      </c>
      <c r="F296" s="8">
        <v>1080.6875</v>
      </c>
      <c r="G296" s="8">
        <v>1081.83199999999</v>
      </c>
      <c r="H296" s="8">
        <v>1076.635</v>
      </c>
      <c r="I296" s="8">
        <v>1072.68571428571</v>
      </c>
      <c r="J296" s="8">
        <v>1070.58375</v>
      </c>
      <c r="K296" s="9">
        <f t="shared" si="380"/>
        <v>0.06121421908</v>
      </c>
      <c r="L296" s="9">
        <f t="shared" si="381"/>
        <v>0.06233809594</v>
      </c>
      <c r="M296" s="9">
        <f t="shared" si="382"/>
        <v>0.05723474248</v>
      </c>
      <c r="N296" s="9">
        <f t="shared" si="383"/>
        <v>0.0533566203</v>
      </c>
      <c r="O296" s="9">
        <f t="shared" si="384"/>
        <v>0.05129253204</v>
      </c>
      <c r="P296" s="10" t="b">
        <f t="shared" ref="P296:T296" si="395">F296&gt;$E296</f>
        <v>1</v>
      </c>
      <c r="Q296" s="10" t="b">
        <f t="shared" si="395"/>
        <v>1</v>
      </c>
      <c r="R296" s="10" t="b">
        <f t="shared" si="395"/>
        <v>1</v>
      </c>
      <c r="S296" s="10" t="b">
        <f t="shared" si="395"/>
        <v>1</v>
      </c>
      <c r="T296" s="10" t="b">
        <f t="shared" si="395"/>
        <v>1</v>
      </c>
    </row>
    <row r="297" ht="15.75" customHeight="1">
      <c r="A297" s="5">
        <v>45027.0</v>
      </c>
      <c r="B297" s="6" t="s">
        <v>105</v>
      </c>
      <c r="C297" s="5">
        <v>45026.0</v>
      </c>
      <c r="D297" s="7">
        <v>1128.85</v>
      </c>
      <c r="E297" s="7">
        <v>1144.95</v>
      </c>
      <c r="F297" s="8">
        <v>1180.4275</v>
      </c>
      <c r="G297" s="8">
        <v>1194.5</v>
      </c>
      <c r="H297" s="8">
        <v>1210.80333333333</v>
      </c>
      <c r="I297" s="8">
        <v>1225.02714285714</v>
      </c>
      <c r="J297" s="8">
        <v>1239.24</v>
      </c>
      <c r="K297" s="9">
        <f t="shared" si="380"/>
        <v>0.03098606926</v>
      </c>
      <c r="L297" s="9">
        <f t="shared" si="381"/>
        <v>0.043276999</v>
      </c>
      <c r="M297" s="9">
        <f t="shared" si="382"/>
        <v>0.05751633987</v>
      </c>
      <c r="N297" s="9">
        <f t="shared" si="383"/>
        <v>0.06993942343</v>
      </c>
      <c r="O297" s="9">
        <f t="shared" si="384"/>
        <v>0.08235294118</v>
      </c>
      <c r="P297" s="10" t="b">
        <f t="shared" ref="P297:T297" si="396">F297&gt;$E297</f>
        <v>1</v>
      </c>
      <c r="Q297" s="10" t="b">
        <f t="shared" si="396"/>
        <v>1</v>
      </c>
      <c r="R297" s="10" t="b">
        <f t="shared" si="396"/>
        <v>1</v>
      </c>
      <c r="S297" s="10" t="b">
        <f t="shared" si="396"/>
        <v>1</v>
      </c>
      <c r="T297" s="10" t="b">
        <f t="shared" si="396"/>
        <v>1</v>
      </c>
    </row>
    <row r="298" ht="15.75" customHeight="1">
      <c r="A298" s="5">
        <v>45050.0</v>
      </c>
      <c r="B298" s="6" t="s">
        <v>105</v>
      </c>
      <c r="C298" s="5">
        <v>45047.0</v>
      </c>
      <c r="D298" s="7">
        <v>1169.05</v>
      </c>
      <c r="E298" s="7">
        <v>1241.05</v>
      </c>
      <c r="F298" s="8">
        <v>1273.7625</v>
      </c>
      <c r="G298" s="8">
        <v>1286.756</v>
      </c>
      <c r="H298" s="8">
        <v>1296.24166666666</v>
      </c>
      <c r="I298" s="8">
        <v>1297.52571428571</v>
      </c>
      <c r="J298" s="8">
        <v>1299.885</v>
      </c>
      <c r="K298" s="9">
        <f t="shared" si="380"/>
        <v>0.0263587285</v>
      </c>
      <c r="L298" s="9">
        <f t="shared" si="381"/>
        <v>0.036828492</v>
      </c>
      <c r="M298" s="9">
        <f t="shared" si="382"/>
        <v>0.04447175107</v>
      </c>
      <c r="N298" s="9">
        <f t="shared" si="383"/>
        <v>0.04550639723</v>
      </c>
      <c r="O298" s="9">
        <f t="shared" si="384"/>
        <v>0.04740743725</v>
      </c>
      <c r="P298" s="10" t="b">
        <f t="shared" ref="P298:T298" si="397">F298&gt;$E298</f>
        <v>1</v>
      </c>
      <c r="Q298" s="10" t="b">
        <f t="shared" si="397"/>
        <v>1</v>
      </c>
      <c r="R298" s="10" t="b">
        <f t="shared" si="397"/>
        <v>1</v>
      </c>
      <c r="S298" s="10" t="b">
        <f t="shared" si="397"/>
        <v>1</v>
      </c>
      <c r="T298" s="10" t="b">
        <f t="shared" si="397"/>
        <v>1</v>
      </c>
    </row>
    <row r="299" ht="15.75" customHeight="1">
      <c r="A299" s="5">
        <v>44935.0</v>
      </c>
      <c r="B299" s="6" t="s">
        <v>106</v>
      </c>
      <c r="C299" s="5">
        <v>44935.0</v>
      </c>
      <c r="D299" s="7">
        <v>444.05</v>
      </c>
      <c r="E299" s="7">
        <v>441.35</v>
      </c>
      <c r="F299" s="8">
        <v>446.89</v>
      </c>
      <c r="G299" s="8">
        <v>451.702</v>
      </c>
      <c r="H299" s="8">
        <v>453.853333333333</v>
      </c>
      <c r="I299" s="8">
        <v>456.308571428571</v>
      </c>
      <c r="J299" s="8">
        <v>458.064999999999</v>
      </c>
      <c r="K299" s="9">
        <f t="shared" si="380"/>
        <v>0.01255239606</v>
      </c>
      <c r="L299" s="9">
        <f t="shared" si="381"/>
        <v>0.02345530758</v>
      </c>
      <c r="M299" s="9">
        <f t="shared" si="382"/>
        <v>0.02832974586</v>
      </c>
      <c r="N299" s="9">
        <f t="shared" si="383"/>
        <v>0.03389276408</v>
      </c>
      <c r="O299" s="9">
        <f t="shared" si="384"/>
        <v>0.03787243684</v>
      </c>
      <c r="P299" s="10" t="b">
        <f t="shared" ref="P299:T299" si="398">F299&gt;$E299</f>
        <v>1</v>
      </c>
      <c r="Q299" s="10" t="b">
        <f t="shared" si="398"/>
        <v>1</v>
      </c>
      <c r="R299" s="10" t="b">
        <f t="shared" si="398"/>
        <v>1</v>
      </c>
      <c r="S299" s="10" t="b">
        <f t="shared" si="398"/>
        <v>1</v>
      </c>
      <c r="T299" s="10" t="b">
        <f t="shared" si="398"/>
        <v>1</v>
      </c>
    </row>
    <row r="300" ht="15.75" customHeight="1">
      <c r="A300" s="5">
        <v>44963.0</v>
      </c>
      <c r="B300" s="6" t="s">
        <v>106</v>
      </c>
      <c r="C300" s="5">
        <v>44963.0</v>
      </c>
      <c r="D300" s="7">
        <v>470.15</v>
      </c>
      <c r="E300" s="7">
        <v>473.5</v>
      </c>
      <c r="F300" s="8">
        <v>469.285</v>
      </c>
      <c r="G300" s="8">
        <v>470.514</v>
      </c>
      <c r="H300" s="8">
        <v>472.158333333333</v>
      </c>
      <c r="I300" s="8">
        <v>474.768571428571</v>
      </c>
      <c r="J300" s="8">
        <v>477.919999999999</v>
      </c>
      <c r="K300" s="9">
        <f t="shared" si="380"/>
        <v>-0.008901795143</v>
      </c>
      <c r="L300" s="9">
        <f t="shared" si="381"/>
        <v>-0.006306230201</v>
      </c>
      <c r="M300" s="9">
        <f t="shared" si="382"/>
        <v>-0.002833509328</v>
      </c>
      <c r="N300" s="9">
        <f t="shared" si="383"/>
        <v>0.002679137125</v>
      </c>
      <c r="O300" s="9">
        <f t="shared" si="384"/>
        <v>0.009334741288</v>
      </c>
      <c r="P300" s="10" t="b">
        <f t="shared" ref="P300:T300" si="399">F300&gt;$E300</f>
        <v>0</v>
      </c>
      <c r="Q300" s="10" t="b">
        <f t="shared" si="399"/>
        <v>0</v>
      </c>
      <c r="R300" s="10" t="b">
        <f t="shared" si="399"/>
        <v>0</v>
      </c>
      <c r="S300" s="10" t="b">
        <f t="shared" si="399"/>
        <v>1</v>
      </c>
      <c r="T300" s="10" t="b">
        <f t="shared" si="399"/>
        <v>1</v>
      </c>
    </row>
    <row r="301" ht="15.75" customHeight="1">
      <c r="A301" s="5">
        <v>45091.0</v>
      </c>
      <c r="B301" s="6" t="s">
        <v>106</v>
      </c>
      <c r="C301" s="5">
        <v>45089.0</v>
      </c>
      <c r="D301" s="7">
        <v>532.35</v>
      </c>
      <c r="E301" s="7">
        <v>556.05</v>
      </c>
      <c r="F301" s="8">
        <v>581.1725</v>
      </c>
      <c r="G301" s="8">
        <v>588.5</v>
      </c>
      <c r="H301" s="8">
        <v>596.575</v>
      </c>
      <c r="I301" s="8">
        <v>604.545714285714</v>
      </c>
      <c r="J301" s="8">
        <v>610.295</v>
      </c>
      <c r="K301" s="9">
        <f t="shared" si="380"/>
        <v>0.04518028954</v>
      </c>
      <c r="L301" s="9">
        <f t="shared" si="381"/>
        <v>0.05835806133</v>
      </c>
      <c r="M301" s="9">
        <f t="shared" si="382"/>
        <v>0.07288013668</v>
      </c>
      <c r="N301" s="9">
        <f t="shared" si="383"/>
        <v>0.08721466466</v>
      </c>
      <c r="O301" s="9">
        <f t="shared" si="384"/>
        <v>0.09755417678</v>
      </c>
      <c r="P301" s="10" t="b">
        <f t="shared" ref="P301:T301" si="400">F301&gt;$E301</f>
        <v>1</v>
      </c>
      <c r="Q301" s="10" t="b">
        <f t="shared" si="400"/>
        <v>1</v>
      </c>
      <c r="R301" s="10" t="b">
        <f t="shared" si="400"/>
        <v>1</v>
      </c>
      <c r="S301" s="10" t="b">
        <f t="shared" si="400"/>
        <v>1</v>
      </c>
      <c r="T301" s="10" t="b">
        <f t="shared" si="400"/>
        <v>1</v>
      </c>
    </row>
    <row r="302" ht="15.75" customHeight="1">
      <c r="A302" s="5">
        <v>45104.0</v>
      </c>
      <c r="B302" s="6" t="s">
        <v>106</v>
      </c>
      <c r="C302" s="5">
        <v>45103.0</v>
      </c>
      <c r="D302" s="7">
        <v>570.7</v>
      </c>
      <c r="E302" s="7">
        <v>574.1</v>
      </c>
      <c r="F302" s="8">
        <v>607.99</v>
      </c>
      <c r="G302" s="8">
        <v>615.548</v>
      </c>
      <c r="H302" s="8">
        <v>621.936666666666</v>
      </c>
      <c r="I302" s="8">
        <v>625.718571428571</v>
      </c>
      <c r="J302" s="8">
        <v>626.616249999999</v>
      </c>
      <c r="K302" s="9">
        <f t="shared" si="380"/>
        <v>0.05903152761</v>
      </c>
      <c r="L302" s="9">
        <f t="shared" si="381"/>
        <v>0.07219648145</v>
      </c>
      <c r="M302" s="9">
        <f t="shared" si="382"/>
        <v>0.08332462405</v>
      </c>
      <c r="N302" s="9">
        <f t="shared" si="383"/>
        <v>0.08991216065</v>
      </c>
      <c r="O302" s="9">
        <f t="shared" si="384"/>
        <v>0.09147578819</v>
      </c>
      <c r="P302" s="10" t="b">
        <f t="shared" ref="P302:T302" si="401">F302&gt;$E302</f>
        <v>1</v>
      </c>
      <c r="Q302" s="10" t="b">
        <f t="shared" si="401"/>
        <v>1</v>
      </c>
      <c r="R302" s="10" t="b">
        <f t="shared" si="401"/>
        <v>1</v>
      </c>
      <c r="S302" s="10" t="b">
        <f t="shared" si="401"/>
        <v>1</v>
      </c>
      <c r="T302" s="10" t="b">
        <f t="shared" si="401"/>
        <v>1</v>
      </c>
    </row>
    <row r="303" ht="15.75" customHeight="1">
      <c r="A303" s="5">
        <v>45126.0</v>
      </c>
      <c r="B303" s="6" t="s">
        <v>106</v>
      </c>
      <c r="C303" s="5">
        <v>45124.0</v>
      </c>
      <c r="D303" s="7">
        <v>607.5</v>
      </c>
      <c r="E303" s="7">
        <v>621.75</v>
      </c>
      <c r="F303" s="8">
        <v>645.9625</v>
      </c>
      <c r="G303" s="8">
        <v>643.35</v>
      </c>
      <c r="H303" s="8">
        <v>642.676923076923</v>
      </c>
      <c r="I303" s="11"/>
      <c r="J303" s="11"/>
      <c r="K303" s="9">
        <f t="shared" si="380"/>
        <v>0.03894250101</v>
      </c>
      <c r="L303" s="9">
        <f t="shared" si="381"/>
        <v>0.03474065139</v>
      </c>
      <c r="M303" s="9">
        <f t="shared" si="382"/>
        <v>0.03365809904</v>
      </c>
      <c r="N303" s="9"/>
      <c r="O303" s="9"/>
      <c r="P303" s="10" t="b">
        <f t="shared" ref="P303:R303" si="402">F303&gt;$E303</f>
        <v>1</v>
      </c>
      <c r="Q303" s="10" t="b">
        <f t="shared" si="402"/>
        <v>1</v>
      </c>
      <c r="R303" s="10" t="b">
        <f t="shared" si="402"/>
        <v>1</v>
      </c>
      <c r="S303" s="10"/>
      <c r="T303" s="10"/>
    </row>
    <row r="304" ht="15.75" customHeight="1">
      <c r="A304" s="5">
        <v>45134.0</v>
      </c>
      <c r="B304" s="6" t="s">
        <v>106</v>
      </c>
      <c r="C304" s="5">
        <v>45131.0</v>
      </c>
      <c r="D304" s="7">
        <v>649.5</v>
      </c>
      <c r="E304" s="7">
        <v>628.6</v>
      </c>
      <c r="F304" s="8">
        <v>645.105</v>
      </c>
      <c r="G304" s="11"/>
      <c r="H304" s="11"/>
      <c r="I304" s="11"/>
      <c r="J304" s="11"/>
      <c r="K304" s="9">
        <f t="shared" si="380"/>
        <v>0.02625676106</v>
      </c>
      <c r="L304" s="9"/>
      <c r="M304" s="9"/>
      <c r="N304" s="9"/>
      <c r="O304" s="9"/>
      <c r="P304" s="10" t="b">
        <f t="shared" ref="P304:P314" si="403">F304&gt;$E304</f>
        <v>1</v>
      </c>
      <c r="Q304" s="10"/>
      <c r="R304" s="10"/>
      <c r="S304" s="10"/>
      <c r="T304" s="10"/>
    </row>
    <row r="305" ht="15.75" customHeight="1">
      <c r="A305" s="5">
        <v>44981.0</v>
      </c>
      <c r="B305" s="6" t="s">
        <v>107</v>
      </c>
      <c r="C305" s="5">
        <v>44977.0</v>
      </c>
      <c r="D305" s="7">
        <v>2551.05</v>
      </c>
      <c r="E305" s="7">
        <v>2811.6</v>
      </c>
      <c r="F305" s="8">
        <v>2614.2</v>
      </c>
      <c r="G305" s="8">
        <v>2610.666</v>
      </c>
      <c r="H305" s="8">
        <v>2621.035</v>
      </c>
      <c r="I305" s="8">
        <v>2609.48</v>
      </c>
      <c r="J305" s="8">
        <v>2606.26125</v>
      </c>
      <c r="K305" s="9">
        <f t="shared" si="380"/>
        <v>-0.07020913359</v>
      </c>
      <c r="L305" s="9">
        <f t="shared" ref="L305:L314" si="405">((G305-E305)/E305)</f>
        <v>-0.07146606914</v>
      </c>
      <c r="M305" s="9">
        <f t="shared" ref="M305:M314" si="406">((H305-E305)/E305)</f>
        <v>-0.06777813345</v>
      </c>
      <c r="N305" s="9">
        <f t="shared" ref="N305:N314" si="407">((I305-E305)/E305)</f>
        <v>-0.07188789301</v>
      </c>
      <c r="O305" s="9">
        <f t="shared" ref="O305:O314" si="408">((J305-E305)/E305)</f>
        <v>-0.0730327038</v>
      </c>
      <c r="P305" s="10" t="b">
        <f t="shared" si="403"/>
        <v>0</v>
      </c>
      <c r="Q305" s="10" t="b">
        <f t="shared" ref="Q305:T305" si="404">G305&gt;$E305</f>
        <v>0</v>
      </c>
      <c r="R305" s="10" t="b">
        <f t="shared" si="404"/>
        <v>0</v>
      </c>
      <c r="S305" s="10" t="b">
        <f t="shared" si="404"/>
        <v>0</v>
      </c>
      <c r="T305" s="10" t="b">
        <f t="shared" si="404"/>
        <v>0</v>
      </c>
    </row>
    <row r="306" ht="15.75" customHeight="1">
      <c r="A306" s="5">
        <v>45075.0</v>
      </c>
      <c r="B306" s="6" t="s">
        <v>107</v>
      </c>
      <c r="C306" s="5">
        <v>45075.0</v>
      </c>
      <c r="D306" s="7">
        <v>2865.15</v>
      </c>
      <c r="E306" s="7">
        <v>2884.2</v>
      </c>
      <c r="F306" s="8">
        <v>3010.50249999999</v>
      </c>
      <c r="G306" s="8">
        <v>3042.67</v>
      </c>
      <c r="H306" s="8">
        <v>3078.36166666666</v>
      </c>
      <c r="I306" s="8">
        <v>3095.84428571428</v>
      </c>
      <c r="J306" s="8">
        <v>3097.54749999999</v>
      </c>
      <c r="K306" s="9">
        <f t="shared" si="380"/>
        <v>0.0437911726</v>
      </c>
      <c r="L306" s="9">
        <f t="shared" si="405"/>
        <v>0.05494417863</v>
      </c>
      <c r="M306" s="9">
        <f t="shared" si="406"/>
        <v>0.06731907172</v>
      </c>
      <c r="N306" s="9">
        <f t="shared" si="407"/>
        <v>0.07338058585</v>
      </c>
      <c r="O306" s="9">
        <f t="shared" si="408"/>
        <v>0.07397111851</v>
      </c>
      <c r="P306" s="10" t="b">
        <f t="shared" si="403"/>
        <v>1</v>
      </c>
      <c r="Q306" s="10" t="b">
        <f t="shared" ref="Q306:T306" si="409">G306&gt;$E306</f>
        <v>1</v>
      </c>
      <c r="R306" s="10" t="b">
        <f t="shared" si="409"/>
        <v>1</v>
      </c>
      <c r="S306" s="10" t="b">
        <f t="shared" si="409"/>
        <v>1</v>
      </c>
      <c r="T306" s="10" t="b">
        <f t="shared" si="409"/>
        <v>1</v>
      </c>
    </row>
    <row r="307" ht="15.75" customHeight="1">
      <c r="A307" s="5">
        <v>45092.0</v>
      </c>
      <c r="B307" s="6" t="s">
        <v>107</v>
      </c>
      <c r="C307" s="5">
        <v>45089.0</v>
      </c>
      <c r="D307" s="7">
        <v>2978.5</v>
      </c>
      <c r="E307" s="7">
        <v>3171.55</v>
      </c>
      <c r="F307" s="8">
        <v>3197.81499999999</v>
      </c>
      <c r="G307" s="8">
        <v>3188.78399999999</v>
      </c>
      <c r="H307" s="8">
        <v>3168.69333333333</v>
      </c>
      <c r="I307" s="8">
        <v>3145.97857142857</v>
      </c>
      <c r="J307" s="8">
        <v>3104.55625</v>
      </c>
      <c r="K307" s="9">
        <f t="shared" si="380"/>
        <v>0.008281439675</v>
      </c>
      <c r="L307" s="9">
        <f t="shared" si="405"/>
        <v>0.005433936088</v>
      </c>
      <c r="M307" s="9">
        <f t="shared" si="406"/>
        <v>-0.0009007162639</v>
      </c>
      <c r="N307" s="9">
        <f t="shared" si="407"/>
        <v>-0.008062754354</v>
      </c>
      <c r="O307" s="9">
        <f t="shared" si="408"/>
        <v>-0.02112334663</v>
      </c>
      <c r="P307" s="10" t="b">
        <f t="shared" si="403"/>
        <v>1</v>
      </c>
      <c r="Q307" s="10" t="b">
        <f t="shared" ref="Q307:T307" si="410">G307&gt;$E307</f>
        <v>1</v>
      </c>
      <c r="R307" s="10" t="b">
        <f t="shared" si="410"/>
        <v>0</v>
      </c>
      <c r="S307" s="10" t="b">
        <f t="shared" si="410"/>
        <v>0</v>
      </c>
      <c r="T307" s="10" t="b">
        <f t="shared" si="410"/>
        <v>0</v>
      </c>
    </row>
    <row r="308" ht="15.75" customHeight="1">
      <c r="A308" s="5">
        <v>45098.0</v>
      </c>
      <c r="B308" s="6" t="s">
        <v>107</v>
      </c>
      <c r="C308" s="5">
        <v>45096.0</v>
      </c>
      <c r="D308" s="7">
        <v>3171.55</v>
      </c>
      <c r="E308" s="7">
        <v>3134.2</v>
      </c>
      <c r="F308" s="8">
        <v>3194.12</v>
      </c>
      <c r="G308" s="8">
        <v>3171.6</v>
      </c>
      <c r="H308" s="8">
        <v>3148.27666666666</v>
      </c>
      <c r="I308" s="8">
        <v>3105.20142857142</v>
      </c>
      <c r="J308" s="8">
        <v>3066.45625</v>
      </c>
      <c r="K308" s="9">
        <f t="shared" si="380"/>
        <v>0.01911811627</v>
      </c>
      <c r="L308" s="9">
        <f t="shared" si="405"/>
        <v>0.01193286963</v>
      </c>
      <c r="M308" s="9">
        <f t="shared" si="406"/>
        <v>0.004491310914</v>
      </c>
      <c r="N308" s="9">
        <f t="shared" si="407"/>
        <v>-0.009252304074</v>
      </c>
      <c r="O308" s="9">
        <f t="shared" si="408"/>
        <v>-0.0216143673</v>
      </c>
      <c r="P308" s="10" t="b">
        <f t="shared" si="403"/>
        <v>1</v>
      </c>
      <c r="Q308" s="10" t="b">
        <f t="shared" ref="Q308:T308" si="411">G308&gt;$E308</f>
        <v>1</v>
      </c>
      <c r="R308" s="10" t="b">
        <f t="shared" si="411"/>
        <v>1</v>
      </c>
      <c r="S308" s="10" t="b">
        <f t="shared" si="411"/>
        <v>0</v>
      </c>
      <c r="T308" s="10" t="b">
        <f t="shared" si="411"/>
        <v>0</v>
      </c>
    </row>
    <row r="309" ht="15.75" customHeight="1">
      <c r="A309" s="5">
        <v>44960.0</v>
      </c>
      <c r="B309" s="6" t="s">
        <v>108</v>
      </c>
      <c r="C309" s="5">
        <v>44956.0</v>
      </c>
      <c r="D309" s="7">
        <v>1235.65</v>
      </c>
      <c r="E309" s="7">
        <v>1341.9</v>
      </c>
      <c r="F309" s="8">
        <v>1323.945</v>
      </c>
      <c r="G309" s="8">
        <v>1326.184</v>
      </c>
      <c r="H309" s="8">
        <v>1326.84333333333</v>
      </c>
      <c r="I309" s="8">
        <v>1328.37428571428</v>
      </c>
      <c r="J309" s="8">
        <v>1332.53125</v>
      </c>
      <c r="K309" s="9">
        <f t="shared" si="380"/>
        <v>-0.01338028169</v>
      </c>
      <c r="L309" s="9">
        <f t="shared" si="405"/>
        <v>-0.01171175199</v>
      </c>
      <c r="M309" s="9">
        <f t="shared" si="406"/>
        <v>-0.01122040887</v>
      </c>
      <c r="N309" s="9">
        <f t="shared" si="407"/>
        <v>-0.01007952477</v>
      </c>
      <c r="O309" s="9">
        <f t="shared" si="408"/>
        <v>-0.006981705045</v>
      </c>
      <c r="P309" s="10" t="b">
        <f t="shared" si="403"/>
        <v>0</v>
      </c>
      <c r="Q309" s="10" t="b">
        <f t="shared" ref="Q309:T309" si="412">G309&gt;$E309</f>
        <v>0</v>
      </c>
      <c r="R309" s="10" t="b">
        <f t="shared" si="412"/>
        <v>0</v>
      </c>
      <c r="S309" s="10" t="b">
        <f t="shared" si="412"/>
        <v>0</v>
      </c>
      <c r="T309" s="10" t="b">
        <f t="shared" si="412"/>
        <v>0</v>
      </c>
    </row>
    <row r="310" ht="15.75" customHeight="1">
      <c r="A310" s="5">
        <v>44966.0</v>
      </c>
      <c r="B310" s="6" t="s">
        <v>108</v>
      </c>
      <c r="C310" s="5">
        <v>44963.0</v>
      </c>
      <c r="D310" s="7">
        <v>1341.9</v>
      </c>
      <c r="E310" s="7">
        <v>1347.45</v>
      </c>
      <c r="F310" s="8">
        <v>1324.75499999999</v>
      </c>
      <c r="G310" s="8">
        <v>1327.67799999999</v>
      </c>
      <c r="H310" s="8">
        <v>1327.74666666666</v>
      </c>
      <c r="I310" s="8">
        <v>1332.41999999999</v>
      </c>
      <c r="J310" s="8">
        <v>1336.08875</v>
      </c>
      <c r="K310" s="9">
        <f t="shared" si="380"/>
        <v>-0.01684292553</v>
      </c>
      <c r="L310" s="9">
        <f t="shared" si="405"/>
        <v>-0.01467364281</v>
      </c>
      <c r="M310" s="9">
        <f t="shared" si="406"/>
        <v>-0.01462268235</v>
      </c>
      <c r="N310" s="9">
        <f t="shared" si="407"/>
        <v>-0.01115440276</v>
      </c>
      <c r="O310" s="9">
        <f t="shared" si="408"/>
        <v>-0.008431667223</v>
      </c>
      <c r="P310" s="10" t="b">
        <f t="shared" si="403"/>
        <v>0</v>
      </c>
      <c r="Q310" s="10" t="b">
        <f t="shared" ref="Q310:T310" si="413">G310&gt;$E310</f>
        <v>0</v>
      </c>
      <c r="R310" s="10" t="b">
        <f t="shared" si="413"/>
        <v>0</v>
      </c>
      <c r="S310" s="10" t="b">
        <f t="shared" si="413"/>
        <v>0</v>
      </c>
      <c r="T310" s="10" t="b">
        <f t="shared" si="413"/>
        <v>0</v>
      </c>
    </row>
    <row r="311" ht="15.75" customHeight="1">
      <c r="A311" s="5">
        <v>45016.0</v>
      </c>
      <c r="B311" s="6" t="s">
        <v>108</v>
      </c>
      <c r="C311" s="5">
        <v>45012.0</v>
      </c>
      <c r="D311" s="7">
        <v>1374.95</v>
      </c>
      <c r="E311" s="7">
        <v>1358.7</v>
      </c>
      <c r="F311" s="8">
        <v>1387.12</v>
      </c>
      <c r="G311" s="8">
        <v>1408.68</v>
      </c>
      <c r="H311" s="8">
        <v>1423.30666666666</v>
      </c>
      <c r="I311" s="8">
        <v>1440.03857142857</v>
      </c>
      <c r="J311" s="8">
        <v>1459.14</v>
      </c>
      <c r="K311" s="9">
        <f t="shared" si="380"/>
        <v>0.02091705307</v>
      </c>
      <c r="L311" s="9">
        <f t="shared" si="405"/>
        <v>0.03678516229</v>
      </c>
      <c r="M311" s="9">
        <f t="shared" si="406"/>
        <v>0.04755035451</v>
      </c>
      <c r="N311" s="9">
        <f t="shared" si="407"/>
        <v>0.059864997</v>
      </c>
      <c r="O311" s="9">
        <f t="shared" si="408"/>
        <v>0.07392360344</v>
      </c>
      <c r="P311" s="10" t="b">
        <f t="shared" si="403"/>
        <v>1</v>
      </c>
      <c r="Q311" s="10" t="b">
        <f t="shared" ref="Q311:T311" si="414">G311&gt;$E311</f>
        <v>1</v>
      </c>
      <c r="R311" s="10" t="b">
        <f t="shared" si="414"/>
        <v>1</v>
      </c>
      <c r="S311" s="10" t="b">
        <f t="shared" si="414"/>
        <v>1</v>
      </c>
      <c r="T311" s="10" t="b">
        <f t="shared" si="414"/>
        <v>1</v>
      </c>
    </row>
    <row r="312" ht="15.75" customHeight="1">
      <c r="A312" s="5">
        <v>45051.0</v>
      </c>
      <c r="B312" s="6" t="s">
        <v>108</v>
      </c>
      <c r="C312" s="5">
        <v>45047.0</v>
      </c>
      <c r="D312" s="7">
        <v>1416.8</v>
      </c>
      <c r="E312" s="7">
        <v>1471.4</v>
      </c>
      <c r="F312" s="8">
        <v>1537.02</v>
      </c>
      <c r="G312" s="8">
        <v>1560.642</v>
      </c>
      <c r="H312" s="8">
        <v>1585.65666666666</v>
      </c>
      <c r="I312" s="8">
        <v>1608.51857142857</v>
      </c>
      <c r="J312" s="8">
        <v>1624.3725</v>
      </c>
      <c r="K312" s="9">
        <f t="shared" si="380"/>
        <v>0.04459698247</v>
      </c>
      <c r="L312" s="9">
        <f t="shared" si="405"/>
        <v>0.0606510806</v>
      </c>
      <c r="M312" s="9">
        <f t="shared" si="406"/>
        <v>0.07765166961</v>
      </c>
      <c r="N312" s="9">
        <f t="shared" si="407"/>
        <v>0.09318918814</v>
      </c>
      <c r="O312" s="9">
        <f t="shared" si="408"/>
        <v>0.1039639119</v>
      </c>
      <c r="P312" s="10" t="b">
        <f t="shared" si="403"/>
        <v>1</v>
      </c>
      <c r="Q312" s="10" t="b">
        <f t="shared" ref="Q312:T312" si="415">G312&gt;$E312</f>
        <v>1</v>
      </c>
      <c r="R312" s="10" t="b">
        <f t="shared" si="415"/>
        <v>1</v>
      </c>
      <c r="S312" s="10" t="b">
        <f t="shared" si="415"/>
        <v>1</v>
      </c>
      <c r="T312" s="10" t="b">
        <f t="shared" si="415"/>
        <v>1</v>
      </c>
    </row>
    <row r="313" ht="15.75" customHeight="1">
      <c r="A313" s="5">
        <v>45057.0</v>
      </c>
      <c r="B313" s="6" t="s">
        <v>108</v>
      </c>
      <c r="C313" s="5">
        <v>45054.0</v>
      </c>
      <c r="D313" s="7">
        <v>1471.4</v>
      </c>
      <c r="E313" s="7">
        <v>1505.55</v>
      </c>
      <c r="F313" s="8">
        <v>1566.38999999999</v>
      </c>
      <c r="G313" s="8">
        <v>1594.232</v>
      </c>
      <c r="H313" s="8">
        <v>1617.69333333333</v>
      </c>
      <c r="I313" s="8">
        <v>1636.25285714285</v>
      </c>
      <c r="J313" s="8">
        <v>1642.38375</v>
      </c>
      <c r="K313" s="9">
        <f t="shared" si="380"/>
        <v>0.04041048122</v>
      </c>
      <c r="L313" s="9">
        <f t="shared" si="405"/>
        <v>0.05890339079</v>
      </c>
      <c r="M313" s="9">
        <f t="shared" si="406"/>
        <v>0.07448662172</v>
      </c>
      <c r="N313" s="9">
        <f t="shared" si="407"/>
        <v>0.0868140262</v>
      </c>
      <c r="O313" s="9">
        <f t="shared" si="408"/>
        <v>0.09088622098</v>
      </c>
      <c r="P313" s="10" t="b">
        <f t="shared" si="403"/>
        <v>1</v>
      </c>
      <c r="Q313" s="10" t="b">
        <f t="shared" ref="Q313:T313" si="416">G313&gt;$E313</f>
        <v>1</v>
      </c>
      <c r="R313" s="10" t="b">
        <f t="shared" si="416"/>
        <v>1</v>
      </c>
      <c r="S313" s="10" t="b">
        <f t="shared" si="416"/>
        <v>1</v>
      </c>
      <c r="T313" s="10" t="b">
        <f t="shared" si="416"/>
        <v>1</v>
      </c>
    </row>
    <row r="314" ht="15.75" customHeight="1">
      <c r="A314" s="5">
        <v>45090.0</v>
      </c>
      <c r="B314" s="6" t="s">
        <v>108</v>
      </c>
      <c r="C314" s="5">
        <v>45089.0</v>
      </c>
      <c r="D314" s="7">
        <v>1685.65</v>
      </c>
      <c r="E314" s="7">
        <v>1708.45</v>
      </c>
      <c r="F314" s="8">
        <v>1716.6025</v>
      </c>
      <c r="G314" s="8">
        <v>1715.832</v>
      </c>
      <c r="H314" s="8">
        <v>1716.89333333333</v>
      </c>
      <c r="I314" s="8">
        <v>1713.98857142857</v>
      </c>
      <c r="J314" s="8">
        <v>1736.1225</v>
      </c>
      <c r="K314" s="9">
        <f t="shared" si="380"/>
        <v>0.004771869238</v>
      </c>
      <c r="L314" s="9">
        <f t="shared" si="405"/>
        <v>0.004320875648</v>
      </c>
      <c r="M314" s="9">
        <f t="shared" si="406"/>
        <v>0.004942101515</v>
      </c>
      <c r="N314" s="9">
        <f t="shared" si="407"/>
        <v>0.003241869196</v>
      </c>
      <c r="O314" s="9">
        <f t="shared" si="408"/>
        <v>0.01619743042</v>
      </c>
      <c r="P314" s="10" t="b">
        <f t="shared" si="403"/>
        <v>1</v>
      </c>
      <c r="Q314" s="10" t="b">
        <f t="shared" ref="Q314:T314" si="417">G314&gt;$E314</f>
        <v>1</v>
      </c>
      <c r="R314" s="10" t="b">
        <f t="shared" si="417"/>
        <v>1</v>
      </c>
      <c r="S314" s="10" t="b">
        <f t="shared" si="417"/>
        <v>1</v>
      </c>
      <c r="T314" s="10" t="b">
        <f t="shared" si="417"/>
        <v>1</v>
      </c>
    </row>
    <row r="315" ht="15.75" customHeight="1">
      <c r="A315" s="5">
        <v>45147.0</v>
      </c>
      <c r="B315" s="6" t="s">
        <v>108</v>
      </c>
      <c r="C315" s="5">
        <v>45145.0</v>
      </c>
      <c r="D315" s="7">
        <v>1787.9</v>
      </c>
      <c r="E315" s="7">
        <v>1956.55</v>
      </c>
      <c r="F315" s="11"/>
      <c r="G315" s="11"/>
      <c r="H315" s="11"/>
      <c r="I315" s="11"/>
      <c r="J315" s="11"/>
      <c r="K315" s="9"/>
      <c r="L315" s="9"/>
      <c r="M315" s="9"/>
      <c r="N315" s="9"/>
      <c r="O315" s="9"/>
      <c r="P315" s="10"/>
      <c r="Q315" s="10"/>
      <c r="R315" s="10"/>
      <c r="S315" s="10"/>
      <c r="T315" s="10"/>
    </row>
    <row r="316" ht="15.75" customHeight="1">
      <c r="A316" s="5">
        <v>45139.0</v>
      </c>
      <c r="B316" s="6" t="s">
        <v>109</v>
      </c>
      <c r="C316" s="5">
        <v>45138.0</v>
      </c>
      <c r="D316" s="7">
        <v>62.95</v>
      </c>
      <c r="E316" s="7">
        <v>65.25</v>
      </c>
      <c r="F316" s="8">
        <v>61.785294117647</v>
      </c>
      <c r="G316" s="11"/>
      <c r="H316" s="11"/>
      <c r="I316" s="11"/>
      <c r="J316" s="11"/>
      <c r="K316" s="9">
        <f t="shared" ref="K316:K336" si="418">((F316-E316)/E316)</f>
        <v>-0.05309894073</v>
      </c>
      <c r="L316" s="9"/>
      <c r="M316" s="9"/>
      <c r="N316" s="9"/>
      <c r="O316" s="9"/>
      <c r="P316" s="10" t="b">
        <f t="shared" ref="P316:P336" si="419">F316&gt;$E316</f>
        <v>0</v>
      </c>
      <c r="Q316" s="10"/>
      <c r="R316" s="10"/>
      <c r="S316" s="10"/>
      <c r="T316" s="10"/>
    </row>
    <row r="317" ht="15.75" customHeight="1">
      <c r="A317" s="5">
        <v>45044.0</v>
      </c>
      <c r="B317" s="6" t="s">
        <v>110</v>
      </c>
      <c r="C317" s="5">
        <v>45040.0</v>
      </c>
      <c r="D317" s="7">
        <v>3776.2</v>
      </c>
      <c r="E317" s="7">
        <v>3816.35</v>
      </c>
      <c r="F317" s="8">
        <v>3972.82999999999</v>
      </c>
      <c r="G317" s="8">
        <v>4006.32599999999</v>
      </c>
      <c r="H317" s="8">
        <v>4060.32833333333</v>
      </c>
      <c r="I317" s="8">
        <v>4111.21571428571</v>
      </c>
      <c r="J317" s="8">
        <v>4151.09499999999</v>
      </c>
      <c r="K317" s="9">
        <f t="shared" si="418"/>
        <v>0.04100252859</v>
      </c>
      <c r="L317" s="9">
        <f t="shared" ref="L317:L331" si="421">((G317-E317)/E317)</f>
        <v>0.04977950136</v>
      </c>
      <c r="M317" s="9">
        <f t="shared" ref="M317:M331" si="422">((H317-E317)/E317)</f>
        <v>0.06392975836</v>
      </c>
      <c r="N317" s="9">
        <f t="shared" ref="N317:N318" si="423">((I317-E317)/E317)</f>
        <v>0.07726380292</v>
      </c>
      <c r="O317" s="9">
        <f t="shared" ref="O317:O318" si="424">((J317-E317)/E317)</f>
        <v>0.08771339107</v>
      </c>
      <c r="P317" s="10" t="b">
        <f t="shared" si="419"/>
        <v>1</v>
      </c>
      <c r="Q317" s="10" t="b">
        <f t="shared" ref="Q317:T317" si="420">G317&gt;$E317</f>
        <v>1</v>
      </c>
      <c r="R317" s="10" t="b">
        <f t="shared" si="420"/>
        <v>1</v>
      </c>
      <c r="S317" s="10" t="b">
        <f t="shared" si="420"/>
        <v>1</v>
      </c>
      <c r="T317" s="10" t="b">
        <f t="shared" si="420"/>
        <v>1</v>
      </c>
    </row>
    <row r="318" ht="15.75" customHeight="1">
      <c r="A318" s="5">
        <v>45072.0</v>
      </c>
      <c r="B318" s="6" t="s">
        <v>110</v>
      </c>
      <c r="C318" s="5">
        <v>45068.0</v>
      </c>
      <c r="D318" s="7">
        <v>4197.75</v>
      </c>
      <c r="E318" s="7">
        <v>4218.65</v>
      </c>
      <c r="F318" s="8">
        <v>4318.8575</v>
      </c>
      <c r="G318" s="8">
        <v>4343.97</v>
      </c>
      <c r="H318" s="8">
        <v>4371.35</v>
      </c>
      <c r="I318" s="8">
        <v>4415.56142857142</v>
      </c>
      <c r="J318" s="8">
        <v>4435.40875</v>
      </c>
      <c r="K318" s="9">
        <f t="shared" si="418"/>
        <v>0.02375345193</v>
      </c>
      <c r="L318" s="9">
        <f t="shared" si="421"/>
        <v>0.02970618563</v>
      </c>
      <c r="M318" s="9">
        <f t="shared" si="422"/>
        <v>0.03619641354</v>
      </c>
      <c r="N318" s="9">
        <f t="shared" si="423"/>
        <v>0.04667640799</v>
      </c>
      <c r="O318" s="9">
        <f t="shared" si="424"/>
        <v>0.05138106977</v>
      </c>
      <c r="P318" s="10" t="b">
        <f t="shared" si="419"/>
        <v>1</v>
      </c>
      <c r="Q318" s="10" t="b">
        <f t="shared" ref="Q318:T318" si="425">G318&gt;$E318</f>
        <v>1</v>
      </c>
      <c r="R318" s="10" t="b">
        <f t="shared" si="425"/>
        <v>1</v>
      </c>
      <c r="S318" s="10" t="b">
        <f t="shared" si="425"/>
        <v>1</v>
      </c>
      <c r="T318" s="10" t="b">
        <f t="shared" si="425"/>
        <v>1</v>
      </c>
    </row>
    <row r="319" ht="15.75" customHeight="1">
      <c r="A319" s="5">
        <v>45120.0</v>
      </c>
      <c r="B319" s="6" t="s">
        <v>110</v>
      </c>
      <c r="C319" s="5">
        <v>45117.0</v>
      </c>
      <c r="D319" s="7">
        <v>4625.5</v>
      </c>
      <c r="E319" s="7">
        <v>4679.5</v>
      </c>
      <c r="F319" s="8">
        <v>4584.02</v>
      </c>
      <c r="G319" s="8">
        <v>4505.3</v>
      </c>
      <c r="H319" s="8">
        <v>4466.02333333333</v>
      </c>
      <c r="I319" s="11"/>
      <c r="J319" s="11"/>
      <c r="K319" s="9">
        <f t="shared" si="418"/>
        <v>-0.0204038893</v>
      </c>
      <c r="L319" s="9">
        <f t="shared" si="421"/>
        <v>-0.03722619938</v>
      </c>
      <c r="M319" s="9">
        <f t="shared" si="422"/>
        <v>-0.04561954625</v>
      </c>
      <c r="N319" s="9"/>
      <c r="O319" s="9"/>
      <c r="P319" s="10" t="b">
        <f t="shared" si="419"/>
        <v>0</v>
      </c>
      <c r="Q319" s="10" t="b">
        <f t="shared" ref="Q319:R319" si="426">G319&gt;$E319</f>
        <v>0</v>
      </c>
      <c r="R319" s="10" t="b">
        <f t="shared" si="426"/>
        <v>0</v>
      </c>
      <c r="S319" s="10"/>
      <c r="T319" s="10"/>
    </row>
    <row r="320" ht="15.75" customHeight="1">
      <c r="A320" s="5">
        <v>45022.0</v>
      </c>
      <c r="B320" s="6" t="s">
        <v>111</v>
      </c>
      <c r="C320" s="5">
        <v>45019.0</v>
      </c>
      <c r="D320" s="7">
        <v>1303.85</v>
      </c>
      <c r="E320" s="7">
        <v>1296.6</v>
      </c>
      <c r="F320" s="8">
        <v>1354.485</v>
      </c>
      <c r="G320" s="8">
        <v>1350.68799999999</v>
      </c>
      <c r="H320" s="8">
        <v>1355.59666666666</v>
      </c>
      <c r="I320" s="8">
        <v>1363.11428571428</v>
      </c>
      <c r="J320" s="8">
        <v>1370.16875</v>
      </c>
      <c r="K320" s="9">
        <f t="shared" si="418"/>
        <v>0.04464368348</v>
      </c>
      <c r="L320" s="9">
        <f t="shared" si="421"/>
        <v>0.04171525528</v>
      </c>
      <c r="M320" s="9">
        <f t="shared" si="422"/>
        <v>0.04550105404</v>
      </c>
      <c r="N320" s="9">
        <f t="shared" ref="N320:N331" si="428">((I320-E320)/E320)</f>
        <v>0.05129900178</v>
      </c>
      <c r="O320" s="9">
        <f t="shared" ref="O320:O331" si="429">((J320-E320)/E320)</f>
        <v>0.0567397424</v>
      </c>
      <c r="P320" s="10" t="b">
        <f t="shared" si="419"/>
        <v>1</v>
      </c>
      <c r="Q320" s="10" t="b">
        <f t="shared" ref="Q320:T320" si="427">G320&gt;$E320</f>
        <v>1</v>
      </c>
      <c r="R320" s="10" t="b">
        <f t="shared" si="427"/>
        <v>1</v>
      </c>
      <c r="S320" s="10" t="b">
        <f t="shared" si="427"/>
        <v>1</v>
      </c>
      <c r="T320" s="10" t="b">
        <f t="shared" si="427"/>
        <v>1</v>
      </c>
    </row>
    <row r="321" ht="15.75" customHeight="1">
      <c r="A321" s="5">
        <v>45019.0</v>
      </c>
      <c r="B321" s="6" t="s">
        <v>112</v>
      </c>
      <c r="C321" s="5">
        <v>45019.0</v>
      </c>
      <c r="D321" s="7">
        <v>2431.1</v>
      </c>
      <c r="E321" s="7">
        <v>2469.85</v>
      </c>
      <c r="F321" s="8">
        <v>2507.7375</v>
      </c>
      <c r="G321" s="8">
        <v>2543.866</v>
      </c>
      <c r="H321" s="8">
        <v>2572.79166666666</v>
      </c>
      <c r="I321" s="8">
        <v>2601.29285714285</v>
      </c>
      <c r="J321" s="8">
        <v>2640.9025</v>
      </c>
      <c r="K321" s="9">
        <f t="shared" si="418"/>
        <v>0.0153400004</v>
      </c>
      <c r="L321" s="9">
        <f t="shared" si="421"/>
        <v>0.02996781181</v>
      </c>
      <c r="M321" s="9">
        <f t="shared" si="422"/>
        <v>0.04167931926</v>
      </c>
      <c r="N321" s="9">
        <f t="shared" si="428"/>
        <v>0.05321896356</v>
      </c>
      <c r="O321" s="9">
        <f t="shared" si="429"/>
        <v>0.06925623014</v>
      </c>
      <c r="P321" s="10" t="b">
        <f t="shared" si="419"/>
        <v>1</v>
      </c>
      <c r="Q321" s="10" t="b">
        <f t="shared" ref="Q321:T321" si="430">G321&gt;$E321</f>
        <v>1</v>
      </c>
      <c r="R321" s="10" t="b">
        <f t="shared" si="430"/>
        <v>1</v>
      </c>
      <c r="S321" s="10" t="b">
        <f t="shared" si="430"/>
        <v>1</v>
      </c>
      <c r="T321" s="10" t="b">
        <f t="shared" si="430"/>
        <v>1</v>
      </c>
    </row>
    <row r="322" ht="15.75" customHeight="1">
      <c r="A322" s="5">
        <v>45055.0</v>
      </c>
      <c r="B322" s="6" t="s">
        <v>112</v>
      </c>
      <c r="C322" s="5">
        <v>45054.0</v>
      </c>
      <c r="D322" s="7">
        <v>2591.55</v>
      </c>
      <c r="E322" s="7">
        <v>2691.9</v>
      </c>
      <c r="F322" s="8">
        <v>2800.6625</v>
      </c>
      <c r="G322" s="8">
        <v>2814.2</v>
      </c>
      <c r="H322" s="8">
        <v>2814.39833333333</v>
      </c>
      <c r="I322" s="8">
        <v>2827.39428571428</v>
      </c>
      <c r="J322" s="8">
        <v>2866.59</v>
      </c>
      <c r="K322" s="9">
        <f t="shared" si="418"/>
        <v>0.04040361826</v>
      </c>
      <c r="L322" s="9">
        <f t="shared" si="421"/>
        <v>0.04543259408</v>
      </c>
      <c r="M322" s="9">
        <f t="shared" si="422"/>
        <v>0.0455062719</v>
      </c>
      <c r="N322" s="9">
        <f t="shared" si="428"/>
        <v>0.050334071</v>
      </c>
      <c r="O322" s="9">
        <f t="shared" si="429"/>
        <v>0.06489468405</v>
      </c>
      <c r="P322" s="10" t="b">
        <f t="shared" si="419"/>
        <v>1</v>
      </c>
      <c r="Q322" s="10" t="b">
        <f t="shared" ref="Q322:T322" si="431">G322&gt;$E322</f>
        <v>1</v>
      </c>
      <c r="R322" s="10" t="b">
        <f t="shared" si="431"/>
        <v>1</v>
      </c>
      <c r="S322" s="10" t="b">
        <f t="shared" si="431"/>
        <v>1</v>
      </c>
      <c r="T322" s="10" t="b">
        <f t="shared" si="431"/>
        <v>1</v>
      </c>
    </row>
    <row r="323" ht="15.75" customHeight="1">
      <c r="A323" s="5">
        <v>45061.0</v>
      </c>
      <c r="B323" s="6" t="s">
        <v>112</v>
      </c>
      <c r="C323" s="5">
        <v>45061.0</v>
      </c>
      <c r="D323" s="7">
        <v>2691.9</v>
      </c>
      <c r="E323" s="7">
        <v>2713.0</v>
      </c>
      <c r="F323" s="8">
        <v>2835.765</v>
      </c>
      <c r="G323" s="8">
        <v>2828.94399999999</v>
      </c>
      <c r="H323" s="8">
        <v>2835.73</v>
      </c>
      <c r="I323" s="8">
        <v>2877.25428571428</v>
      </c>
      <c r="J323" s="8">
        <v>2904.65874999999</v>
      </c>
      <c r="K323" s="9">
        <f t="shared" si="418"/>
        <v>0.04525064504</v>
      </c>
      <c r="L323" s="9">
        <f t="shared" si="421"/>
        <v>0.04273645411</v>
      </c>
      <c r="M323" s="9">
        <f t="shared" si="422"/>
        <v>0.04523774419</v>
      </c>
      <c r="N323" s="9">
        <f t="shared" si="428"/>
        <v>0.0605434153</v>
      </c>
      <c r="O323" s="9">
        <f t="shared" si="429"/>
        <v>0.07064458164</v>
      </c>
      <c r="P323" s="10" t="b">
        <f t="shared" si="419"/>
        <v>1</v>
      </c>
      <c r="Q323" s="10" t="b">
        <f t="shared" ref="Q323:T323" si="432">G323&gt;$E323</f>
        <v>1</v>
      </c>
      <c r="R323" s="10" t="b">
        <f t="shared" si="432"/>
        <v>1</v>
      </c>
      <c r="S323" s="10" t="b">
        <f t="shared" si="432"/>
        <v>1</v>
      </c>
      <c r="T323" s="10" t="b">
        <f t="shared" si="432"/>
        <v>1</v>
      </c>
    </row>
    <row r="324" ht="15.75" customHeight="1">
      <c r="A324" s="5">
        <v>45078.0</v>
      </c>
      <c r="B324" s="6" t="s">
        <v>112</v>
      </c>
      <c r="C324" s="5">
        <v>45075.0</v>
      </c>
      <c r="D324" s="7">
        <v>2800.4</v>
      </c>
      <c r="E324" s="7">
        <v>2958.0</v>
      </c>
      <c r="F324" s="8">
        <v>2903.5175</v>
      </c>
      <c r="G324" s="8">
        <v>2943.872</v>
      </c>
      <c r="H324" s="8">
        <v>2970.83</v>
      </c>
      <c r="I324" s="8">
        <v>2993.82714285714</v>
      </c>
      <c r="J324" s="8">
        <v>3005.2025</v>
      </c>
      <c r="K324" s="9">
        <f t="shared" si="418"/>
        <v>-0.01841869506</v>
      </c>
      <c r="L324" s="9">
        <f t="shared" si="421"/>
        <v>-0.004776200135</v>
      </c>
      <c r="M324" s="9">
        <f t="shared" si="422"/>
        <v>0.004337390128</v>
      </c>
      <c r="N324" s="9">
        <f t="shared" si="428"/>
        <v>0.01211194823</v>
      </c>
      <c r="O324" s="9">
        <f t="shared" si="429"/>
        <v>0.01595757268</v>
      </c>
      <c r="P324" s="10" t="b">
        <f t="shared" si="419"/>
        <v>0</v>
      </c>
      <c r="Q324" s="10" t="b">
        <f t="shared" ref="Q324:T324" si="433">G324&gt;$E324</f>
        <v>0</v>
      </c>
      <c r="R324" s="10" t="b">
        <f t="shared" si="433"/>
        <v>1</v>
      </c>
      <c r="S324" s="10" t="b">
        <f t="shared" si="433"/>
        <v>1</v>
      </c>
      <c r="T324" s="10" t="b">
        <f t="shared" si="433"/>
        <v>1</v>
      </c>
    </row>
    <row r="325" ht="15.75" customHeight="1">
      <c r="A325" s="5">
        <v>45111.0</v>
      </c>
      <c r="B325" s="6" t="s">
        <v>112</v>
      </c>
      <c r="C325" s="5">
        <v>45110.0</v>
      </c>
      <c r="D325" s="7">
        <v>3029.8</v>
      </c>
      <c r="E325" s="7">
        <v>3123.7</v>
      </c>
      <c r="F325" s="8">
        <v>3088.23</v>
      </c>
      <c r="G325" s="8">
        <v>3077.438</v>
      </c>
      <c r="H325" s="8">
        <v>3057.46833333333</v>
      </c>
      <c r="I325" s="8">
        <v>3040.98142857142</v>
      </c>
      <c r="J325" s="8">
        <v>3035.19324324324</v>
      </c>
      <c r="K325" s="9">
        <f t="shared" si="418"/>
        <v>-0.01135512373</v>
      </c>
      <c r="L325" s="9">
        <f t="shared" si="421"/>
        <v>-0.01481000096</v>
      </c>
      <c r="M325" s="9">
        <f t="shared" si="422"/>
        <v>-0.02120295376</v>
      </c>
      <c r="N325" s="9">
        <f t="shared" si="428"/>
        <v>-0.02648095894</v>
      </c>
      <c r="O325" s="9">
        <f t="shared" si="429"/>
        <v>-0.02833394908</v>
      </c>
      <c r="P325" s="10" t="b">
        <f t="shared" si="419"/>
        <v>0</v>
      </c>
      <c r="Q325" s="10" t="b">
        <f t="shared" ref="Q325:T325" si="434">G325&gt;$E325</f>
        <v>0</v>
      </c>
      <c r="R325" s="10" t="b">
        <f t="shared" si="434"/>
        <v>0</v>
      </c>
      <c r="S325" s="10" t="b">
        <f t="shared" si="434"/>
        <v>0</v>
      </c>
      <c r="T325" s="10" t="b">
        <f t="shared" si="434"/>
        <v>0</v>
      </c>
    </row>
    <row r="326" ht="15.75" customHeight="1">
      <c r="A326" s="5">
        <v>45016.0</v>
      </c>
      <c r="B326" s="6" t="s">
        <v>113</v>
      </c>
      <c r="C326" s="5">
        <v>45012.0</v>
      </c>
      <c r="D326" s="7">
        <v>324.35</v>
      </c>
      <c r="E326" s="7">
        <v>328.0</v>
      </c>
      <c r="F326" s="8">
        <v>344.16</v>
      </c>
      <c r="G326" s="8">
        <v>347.638</v>
      </c>
      <c r="H326" s="8">
        <v>351.578333333333</v>
      </c>
      <c r="I326" s="8">
        <v>356.201428571428</v>
      </c>
      <c r="J326" s="8">
        <v>360.8325</v>
      </c>
      <c r="K326" s="9">
        <f t="shared" si="418"/>
        <v>0.04926829268</v>
      </c>
      <c r="L326" s="9">
        <f t="shared" si="421"/>
        <v>0.05987195122</v>
      </c>
      <c r="M326" s="9">
        <f t="shared" si="422"/>
        <v>0.0718851626</v>
      </c>
      <c r="N326" s="9">
        <f t="shared" si="428"/>
        <v>0.08597996516</v>
      </c>
      <c r="O326" s="9">
        <f t="shared" si="429"/>
        <v>0.1000990854</v>
      </c>
      <c r="P326" s="10" t="b">
        <f t="shared" si="419"/>
        <v>1</v>
      </c>
      <c r="Q326" s="10" t="b">
        <f t="shared" ref="Q326:T326" si="435">G326&gt;$E326</f>
        <v>1</v>
      </c>
      <c r="R326" s="10" t="b">
        <f t="shared" si="435"/>
        <v>1</v>
      </c>
      <c r="S326" s="10" t="b">
        <f t="shared" si="435"/>
        <v>1</v>
      </c>
      <c r="T326" s="10" t="b">
        <f t="shared" si="435"/>
        <v>1</v>
      </c>
    </row>
    <row r="327" ht="15.75" customHeight="1">
      <c r="A327" s="5">
        <v>45036.0</v>
      </c>
      <c r="B327" s="6" t="s">
        <v>113</v>
      </c>
      <c r="C327" s="5">
        <v>45033.0</v>
      </c>
      <c r="D327" s="7">
        <v>335.1</v>
      </c>
      <c r="E327" s="7">
        <v>340.95</v>
      </c>
      <c r="F327" s="8">
        <v>362.89</v>
      </c>
      <c r="G327" s="8">
        <v>367.704</v>
      </c>
      <c r="H327" s="8">
        <v>371.465</v>
      </c>
      <c r="I327" s="8">
        <v>374.048571428571</v>
      </c>
      <c r="J327" s="8">
        <v>376.626249999999</v>
      </c>
      <c r="K327" s="9">
        <f t="shared" si="418"/>
        <v>0.06434961138</v>
      </c>
      <c r="L327" s="9">
        <f t="shared" si="421"/>
        <v>0.07846898372</v>
      </c>
      <c r="M327" s="9">
        <f t="shared" si="422"/>
        <v>0.08949992668</v>
      </c>
      <c r="N327" s="9">
        <f t="shared" si="428"/>
        <v>0.09707749356</v>
      </c>
      <c r="O327" s="9">
        <f t="shared" si="429"/>
        <v>0.1046377768</v>
      </c>
      <c r="P327" s="10" t="b">
        <f t="shared" si="419"/>
        <v>1</v>
      </c>
      <c r="Q327" s="10" t="b">
        <f t="shared" ref="Q327:T327" si="436">G327&gt;$E327</f>
        <v>1</v>
      </c>
      <c r="R327" s="10" t="b">
        <f t="shared" si="436"/>
        <v>1</v>
      </c>
      <c r="S327" s="10" t="b">
        <f t="shared" si="436"/>
        <v>1</v>
      </c>
      <c r="T327" s="10" t="b">
        <f t="shared" si="436"/>
        <v>1</v>
      </c>
    </row>
    <row r="328" ht="15.75" customHeight="1">
      <c r="A328" s="5">
        <v>45049.0</v>
      </c>
      <c r="B328" s="6" t="s">
        <v>113</v>
      </c>
      <c r="C328" s="5">
        <v>45047.0</v>
      </c>
      <c r="D328" s="7">
        <v>354.9</v>
      </c>
      <c r="E328" s="7">
        <v>374.25</v>
      </c>
      <c r="F328" s="8">
        <v>376.28</v>
      </c>
      <c r="G328" s="8">
        <v>378.61</v>
      </c>
      <c r="H328" s="8">
        <v>381.463333333333</v>
      </c>
      <c r="I328" s="8">
        <v>382.025714285714</v>
      </c>
      <c r="J328" s="8">
        <v>382.461249999999</v>
      </c>
      <c r="K328" s="9">
        <f t="shared" si="418"/>
        <v>0.005424181697</v>
      </c>
      <c r="L328" s="9">
        <f t="shared" si="421"/>
        <v>0.0116499666</v>
      </c>
      <c r="M328" s="9">
        <f t="shared" si="422"/>
        <v>0.01927410376</v>
      </c>
      <c r="N328" s="9">
        <f t="shared" si="428"/>
        <v>0.02077679168</v>
      </c>
      <c r="O328" s="9">
        <f t="shared" si="429"/>
        <v>0.02194054776</v>
      </c>
      <c r="P328" s="10" t="b">
        <f t="shared" si="419"/>
        <v>1</v>
      </c>
      <c r="Q328" s="10" t="b">
        <f t="shared" ref="Q328:T328" si="437">G328&gt;$E328</f>
        <v>1</v>
      </c>
      <c r="R328" s="10" t="b">
        <f t="shared" si="437"/>
        <v>1</v>
      </c>
      <c r="S328" s="10" t="b">
        <f t="shared" si="437"/>
        <v>1</v>
      </c>
      <c r="T328" s="10" t="b">
        <f t="shared" si="437"/>
        <v>1</v>
      </c>
    </row>
    <row r="329" ht="15.75" customHeight="1">
      <c r="A329" s="5">
        <v>45034.0</v>
      </c>
      <c r="B329" s="6" t="s">
        <v>114</v>
      </c>
      <c r="C329" s="5">
        <v>45033.0</v>
      </c>
      <c r="D329" s="7">
        <v>3153.3</v>
      </c>
      <c r="E329" s="7">
        <v>3112.95</v>
      </c>
      <c r="F329" s="8">
        <v>3337.89</v>
      </c>
      <c r="G329" s="8">
        <v>3361.614</v>
      </c>
      <c r="H329" s="8">
        <v>3392.67333333333</v>
      </c>
      <c r="I329" s="8">
        <v>3434.54857142857</v>
      </c>
      <c r="J329" s="8">
        <v>3488.08624999999</v>
      </c>
      <c r="K329" s="9">
        <f t="shared" si="418"/>
        <v>0.07225943237</v>
      </c>
      <c r="L329" s="9">
        <f t="shared" si="421"/>
        <v>0.0798804992</v>
      </c>
      <c r="M329" s="9">
        <f t="shared" si="422"/>
        <v>0.08985795896</v>
      </c>
      <c r="N329" s="9">
        <f t="shared" si="428"/>
        <v>0.1033099059</v>
      </c>
      <c r="O329" s="9">
        <f t="shared" si="429"/>
        <v>0.1205082799</v>
      </c>
      <c r="P329" s="10" t="b">
        <f t="shared" si="419"/>
        <v>1</v>
      </c>
      <c r="Q329" s="10" t="b">
        <f t="shared" ref="Q329:T329" si="438">G329&gt;$E329</f>
        <v>1</v>
      </c>
      <c r="R329" s="10" t="b">
        <f t="shared" si="438"/>
        <v>1</v>
      </c>
      <c r="S329" s="10" t="b">
        <f t="shared" si="438"/>
        <v>1</v>
      </c>
      <c r="T329" s="10" t="b">
        <f t="shared" si="438"/>
        <v>1</v>
      </c>
    </row>
    <row r="330" ht="15.75" customHeight="1">
      <c r="A330" s="5">
        <v>45044.0</v>
      </c>
      <c r="B330" s="6" t="s">
        <v>114</v>
      </c>
      <c r="C330" s="5">
        <v>45040.0</v>
      </c>
      <c r="D330" s="7">
        <v>3384.5</v>
      </c>
      <c r="E330" s="7">
        <v>3443.2</v>
      </c>
      <c r="F330" s="8">
        <v>3416.9875</v>
      </c>
      <c r="G330" s="8">
        <v>3455.692</v>
      </c>
      <c r="H330" s="8">
        <v>3515.69499999999</v>
      </c>
      <c r="I330" s="8">
        <v>3567.16857142857</v>
      </c>
      <c r="J330" s="8">
        <v>3604.0325</v>
      </c>
      <c r="K330" s="9">
        <f t="shared" si="418"/>
        <v>-0.007612831087</v>
      </c>
      <c r="L330" s="9">
        <f t="shared" si="421"/>
        <v>0.003628020446</v>
      </c>
      <c r="M330" s="9">
        <f t="shared" si="422"/>
        <v>0.02105454229</v>
      </c>
      <c r="N330" s="9">
        <f t="shared" si="428"/>
        <v>0.03600388343</v>
      </c>
      <c r="O330" s="9">
        <f t="shared" si="429"/>
        <v>0.04671018239</v>
      </c>
      <c r="P330" s="10" t="b">
        <f t="shared" si="419"/>
        <v>0</v>
      </c>
      <c r="Q330" s="10" t="b">
        <f t="shared" ref="Q330:T330" si="439">G330&gt;$E330</f>
        <v>1</v>
      </c>
      <c r="R330" s="10" t="b">
        <f t="shared" si="439"/>
        <v>1</v>
      </c>
      <c r="S330" s="10" t="b">
        <f t="shared" si="439"/>
        <v>1</v>
      </c>
      <c r="T330" s="10" t="b">
        <f t="shared" si="439"/>
        <v>1</v>
      </c>
    </row>
    <row r="331" ht="15.75" customHeight="1">
      <c r="A331" s="5">
        <v>45084.0</v>
      </c>
      <c r="B331" s="6" t="s">
        <v>114</v>
      </c>
      <c r="C331" s="5">
        <v>45082.0</v>
      </c>
      <c r="D331" s="7">
        <v>3679.4</v>
      </c>
      <c r="E331" s="7">
        <v>3761.45</v>
      </c>
      <c r="F331" s="8">
        <v>3829.3425</v>
      </c>
      <c r="G331" s="8">
        <v>3792.118</v>
      </c>
      <c r="H331" s="8">
        <v>3764.00666666666</v>
      </c>
      <c r="I331" s="8">
        <v>3743.57571428571</v>
      </c>
      <c r="J331" s="8">
        <v>3748.025</v>
      </c>
      <c r="K331" s="9">
        <f t="shared" si="418"/>
        <v>0.01804955536</v>
      </c>
      <c r="L331" s="9">
        <f t="shared" si="421"/>
        <v>0.008153238778</v>
      </c>
      <c r="M331" s="9">
        <f t="shared" si="422"/>
        <v>0.0006797024197</v>
      </c>
      <c r="N331" s="9">
        <f t="shared" si="428"/>
        <v>-0.004751966852</v>
      </c>
      <c r="O331" s="9">
        <f t="shared" si="429"/>
        <v>-0.003569102341</v>
      </c>
      <c r="P331" s="10" t="b">
        <f t="shared" si="419"/>
        <v>1</v>
      </c>
      <c r="Q331" s="10" t="b">
        <f t="shared" ref="Q331:T331" si="440">G331&gt;$E331</f>
        <v>1</v>
      </c>
      <c r="R331" s="10" t="b">
        <f t="shared" si="440"/>
        <v>1</v>
      </c>
      <c r="S331" s="10" t="b">
        <f t="shared" si="440"/>
        <v>0</v>
      </c>
      <c r="T331" s="10" t="b">
        <f t="shared" si="440"/>
        <v>0</v>
      </c>
    </row>
    <row r="332" ht="15.75" customHeight="1">
      <c r="A332" s="5">
        <v>45140.0</v>
      </c>
      <c r="B332" s="6" t="s">
        <v>114</v>
      </c>
      <c r="C332" s="5">
        <v>45138.0</v>
      </c>
      <c r="D332" s="7">
        <v>3684.7</v>
      </c>
      <c r="E332" s="7">
        <v>3850.75</v>
      </c>
      <c r="F332" s="8">
        <v>3741.3625</v>
      </c>
      <c r="G332" s="11"/>
      <c r="H332" s="11"/>
      <c r="I332" s="11"/>
      <c r="J332" s="11"/>
      <c r="K332" s="9">
        <f t="shared" si="418"/>
        <v>-0.02840680387</v>
      </c>
      <c r="L332" s="9"/>
      <c r="M332" s="9"/>
      <c r="N332" s="9"/>
      <c r="O332" s="9"/>
      <c r="P332" s="10" t="b">
        <f t="shared" si="419"/>
        <v>0</v>
      </c>
      <c r="Q332" s="10"/>
      <c r="R332" s="10"/>
      <c r="S332" s="10"/>
      <c r="T332" s="10"/>
    </row>
    <row r="333" ht="15.75" customHeight="1">
      <c r="A333" s="5">
        <v>45138.0</v>
      </c>
      <c r="B333" s="6" t="s">
        <v>115</v>
      </c>
      <c r="C333" s="5">
        <v>45138.0</v>
      </c>
      <c r="D333" s="7">
        <v>640.65</v>
      </c>
      <c r="E333" s="7">
        <v>653.55</v>
      </c>
      <c r="F333" s="8">
        <v>655.686111111111</v>
      </c>
      <c r="G333" s="11"/>
      <c r="H333" s="11"/>
      <c r="I333" s="11"/>
      <c r="J333" s="11"/>
      <c r="K333" s="9">
        <f t="shared" si="418"/>
        <v>0.00326847389</v>
      </c>
      <c r="L333" s="9"/>
      <c r="M333" s="9"/>
      <c r="N333" s="9"/>
      <c r="O333" s="9"/>
      <c r="P333" s="10" t="b">
        <f t="shared" si="419"/>
        <v>1</v>
      </c>
      <c r="Q333" s="10"/>
      <c r="R333" s="10"/>
      <c r="S333" s="10"/>
      <c r="T333" s="10"/>
    </row>
    <row r="334" ht="15.75" customHeight="1">
      <c r="A334" s="5">
        <v>44935.0</v>
      </c>
      <c r="B334" s="6" t="s">
        <v>116</v>
      </c>
      <c r="C334" s="5">
        <v>44935.0</v>
      </c>
      <c r="D334" s="7">
        <v>289.45</v>
      </c>
      <c r="E334" s="7">
        <v>308.55</v>
      </c>
      <c r="F334" s="8">
        <v>308.9575</v>
      </c>
      <c r="G334" s="8">
        <v>311.861999999999</v>
      </c>
      <c r="H334" s="8">
        <v>312.359999999999</v>
      </c>
      <c r="I334" s="8">
        <v>310.914285714285</v>
      </c>
      <c r="J334" s="8">
        <v>309.04125</v>
      </c>
      <c r="K334" s="9">
        <f t="shared" si="418"/>
        <v>0.001320693567</v>
      </c>
      <c r="L334" s="9">
        <f t="shared" ref="L334:L336" si="442">((G334-E334)/E334)</f>
        <v>0.01073407876</v>
      </c>
      <c r="M334" s="9">
        <f t="shared" ref="M334:M336" si="443">((H334-E334)/E334)</f>
        <v>0.01234807973</v>
      </c>
      <c r="N334" s="9">
        <f t="shared" ref="N334:N336" si="444">((I334-E334)/E334)</f>
        <v>0.00766256916</v>
      </c>
      <c r="O334" s="9">
        <f t="shared" ref="O334:O336" si="445">((J334-E334)/E334)</f>
        <v>0.001592124453</v>
      </c>
      <c r="P334" s="10" t="b">
        <f t="shared" si="419"/>
        <v>1</v>
      </c>
      <c r="Q334" s="10" t="b">
        <f t="shared" ref="Q334:T334" si="441">G334&gt;$E334</f>
        <v>1</v>
      </c>
      <c r="R334" s="10" t="b">
        <f t="shared" si="441"/>
        <v>1</v>
      </c>
      <c r="S334" s="10" t="b">
        <f t="shared" si="441"/>
        <v>1</v>
      </c>
      <c r="T334" s="10" t="b">
        <f t="shared" si="441"/>
        <v>1</v>
      </c>
    </row>
    <row r="335" ht="15.75" customHeight="1">
      <c r="A335" s="5">
        <v>44967.0</v>
      </c>
      <c r="B335" s="6" t="s">
        <v>116</v>
      </c>
      <c r="C335" s="5">
        <v>44963.0</v>
      </c>
      <c r="D335" s="7">
        <v>327.85</v>
      </c>
      <c r="E335" s="7">
        <v>323.75</v>
      </c>
      <c r="F335" s="8">
        <v>303.719999999999</v>
      </c>
      <c r="G335" s="8">
        <v>301.46</v>
      </c>
      <c r="H335" s="8">
        <v>300.518333333333</v>
      </c>
      <c r="I335" s="8">
        <v>299.445714285714</v>
      </c>
      <c r="J335" s="8">
        <v>299.5575</v>
      </c>
      <c r="K335" s="9">
        <f t="shared" si="418"/>
        <v>-0.06186872587</v>
      </c>
      <c r="L335" s="9">
        <f t="shared" si="442"/>
        <v>-0.06884942085</v>
      </c>
      <c r="M335" s="9">
        <f t="shared" si="443"/>
        <v>-0.07175804376</v>
      </c>
      <c r="N335" s="9">
        <f t="shared" si="444"/>
        <v>-0.07507115279</v>
      </c>
      <c r="O335" s="9">
        <f t="shared" si="445"/>
        <v>-0.07472586873</v>
      </c>
      <c r="P335" s="10" t="b">
        <f t="shared" si="419"/>
        <v>0</v>
      </c>
      <c r="Q335" s="10" t="b">
        <f t="shared" ref="Q335:T335" si="446">G335&gt;$E335</f>
        <v>0</v>
      </c>
      <c r="R335" s="10" t="b">
        <f t="shared" si="446"/>
        <v>0</v>
      </c>
      <c r="S335" s="10" t="b">
        <f t="shared" si="446"/>
        <v>0</v>
      </c>
      <c r="T335" s="10" t="b">
        <f t="shared" si="446"/>
        <v>0</v>
      </c>
    </row>
    <row r="336" ht="15.75" customHeight="1">
      <c r="A336" s="5">
        <v>45055.0</v>
      </c>
      <c r="B336" s="6" t="s">
        <v>116</v>
      </c>
      <c r="C336" s="5">
        <v>45054.0</v>
      </c>
      <c r="D336" s="7">
        <v>320.5</v>
      </c>
      <c r="E336" s="7">
        <v>332.15</v>
      </c>
      <c r="F336" s="8">
        <v>368.9</v>
      </c>
      <c r="G336" s="8">
        <v>370.336</v>
      </c>
      <c r="H336" s="8">
        <v>370.588333333333</v>
      </c>
      <c r="I336" s="8">
        <v>371.448571428571</v>
      </c>
      <c r="J336" s="8">
        <v>373.73125</v>
      </c>
      <c r="K336" s="9">
        <f t="shared" si="418"/>
        <v>0.1106427819</v>
      </c>
      <c r="L336" s="9">
        <f t="shared" si="442"/>
        <v>0.1149661298</v>
      </c>
      <c r="M336" s="9">
        <f t="shared" si="443"/>
        <v>0.1157258267</v>
      </c>
      <c r="N336" s="9">
        <f t="shared" si="444"/>
        <v>0.1183157351</v>
      </c>
      <c r="O336" s="9">
        <f t="shared" si="445"/>
        <v>0.125188168</v>
      </c>
      <c r="P336" s="10" t="b">
        <f t="shared" si="419"/>
        <v>1</v>
      </c>
      <c r="Q336" s="10" t="b">
        <f t="shared" ref="Q336:T336" si="447">G336&gt;$E336</f>
        <v>1</v>
      </c>
      <c r="R336" s="10" t="b">
        <f t="shared" si="447"/>
        <v>1</v>
      </c>
      <c r="S336" s="10" t="b">
        <f t="shared" si="447"/>
        <v>1</v>
      </c>
      <c r="T336" s="10" t="b">
        <f t="shared" si="447"/>
        <v>1</v>
      </c>
    </row>
    <row r="337" ht="15.75" customHeight="1">
      <c r="A337" s="5">
        <v>45155.0</v>
      </c>
      <c r="B337" s="6" t="s">
        <v>116</v>
      </c>
      <c r="C337" s="5">
        <v>45152.0</v>
      </c>
      <c r="D337" s="7">
        <v>412.4</v>
      </c>
      <c r="E337" s="7">
        <v>417.0</v>
      </c>
      <c r="F337" s="11"/>
      <c r="G337" s="11"/>
      <c r="H337" s="11"/>
      <c r="I337" s="11"/>
      <c r="J337" s="11"/>
      <c r="K337" s="9"/>
      <c r="L337" s="9"/>
      <c r="M337" s="9"/>
      <c r="N337" s="9"/>
      <c r="O337" s="9"/>
      <c r="P337" s="10"/>
      <c r="Q337" s="10"/>
      <c r="R337" s="10"/>
      <c r="S337" s="10"/>
      <c r="T337" s="10"/>
    </row>
    <row r="338" ht="15.75" customHeight="1">
      <c r="A338" s="13"/>
      <c r="B338" s="14"/>
      <c r="C338" s="13"/>
      <c r="D338" s="14"/>
      <c r="E338" s="14"/>
      <c r="F338" s="15"/>
      <c r="G338" s="15"/>
      <c r="H338" s="15"/>
      <c r="I338" s="15"/>
      <c r="J338" s="15"/>
      <c r="K338" s="9"/>
      <c r="L338" s="9"/>
      <c r="M338" s="9"/>
      <c r="N338" s="9"/>
      <c r="O338" s="9"/>
      <c r="P338" s="10"/>
      <c r="Q338" s="10"/>
      <c r="R338" s="10"/>
      <c r="S338" s="10"/>
      <c r="T338" s="10"/>
    </row>
    <row r="339" ht="15.75" customHeight="1">
      <c r="A339" s="13"/>
      <c r="B339" s="14"/>
      <c r="C339" s="13"/>
      <c r="D339" s="14"/>
      <c r="E339" s="14"/>
      <c r="F339" s="15"/>
      <c r="G339" s="15"/>
      <c r="H339" s="15"/>
      <c r="I339" s="15"/>
      <c r="J339" s="15"/>
      <c r="K339" s="9"/>
      <c r="L339" s="9"/>
      <c r="M339" s="9"/>
      <c r="N339" s="9"/>
      <c r="O339" s="9"/>
      <c r="P339" s="10"/>
      <c r="Q339" s="10"/>
      <c r="R339" s="10"/>
      <c r="S339" s="10"/>
      <c r="T339" s="10"/>
    </row>
    <row r="340" ht="15.75" customHeight="1">
      <c r="A340" s="13"/>
      <c r="B340" s="14"/>
      <c r="C340" s="13"/>
      <c r="D340" s="14"/>
      <c r="E340" s="14"/>
      <c r="F340" s="15"/>
      <c r="G340" s="15"/>
      <c r="H340" s="15"/>
      <c r="I340" s="15"/>
      <c r="J340" s="15"/>
      <c r="K340" s="9"/>
      <c r="L340" s="9"/>
      <c r="M340" s="9"/>
      <c r="N340" s="9"/>
      <c r="O340" s="9"/>
      <c r="P340" s="10"/>
      <c r="Q340" s="10"/>
      <c r="R340" s="10"/>
      <c r="S340" s="10"/>
      <c r="T340" s="10"/>
    </row>
    <row r="341" ht="15.75" customHeight="1">
      <c r="A341" s="13"/>
      <c r="B341" s="14"/>
      <c r="C341" s="13"/>
      <c r="D341" s="14"/>
      <c r="E341" s="14"/>
      <c r="F341" s="15"/>
      <c r="G341" s="15"/>
      <c r="H341" s="15"/>
      <c r="I341" s="15"/>
      <c r="J341" s="15"/>
      <c r="K341" s="9"/>
      <c r="L341" s="9"/>
      <c r="M341" s="9"/>
      <c r="N341" s="9"/>
      <c r="O341" s="9"/>
      <c r="P341" s="10"/>
      <c r="Q341" s="10"/>
      <c r="R341" s="10"/>
      <c r="S341" s="10"/>
      <c r="T341" s="10"/>
    </row>
    <row r="342" ht="15.75" customHeight="1">
      <c r="A342" s="13"/>
      <c r="B342" s="14"/>
      <c r="C342" s="13"/>
      <c r="D342" s="14"/>
      <c r="E342" s="14"/>
      <c r="F342" s="15"/>
      <c r="G342" s="15"/>
      <c r="H342" s="15"/>
      <c r="I342" s="15"/>
      <c r="J342" s="15"/>
      <c r="K342" s="9"/>
      <c r="L342" s="9"/>
      <c r="M342" s="9"/>
      <c r="N342" s="9"/>
      <c r="O342" s="9"/>
      <c r="P342" s="10"/>
      <c r="Q342" s="10"/>
      <c r="R342" s="10"/>
      <c r="S342" s="10"/>
      <c r="T342" s="10"/>
    </row>
    <row r="343" ht="15.75" customHeight="1">
      <c r="A343" s="13"/>
      <c r="B343" s="14"/>
      <c r="C343" s="13"/>
      <c r="D343" s="14"/>
      <c r="E343" s="14"/>
      <c r="F343" s="15"/>
      <c r="G343" s="15"/>
      <c r="H343" s="15"/>
      <c r="I343" s="15"/>
      <c r="J343" s="15"/>
      <c r="K343" s="9"/>
      <c r="L343" s="9"/>
      <c r="M343" s="9"/>
      <c r="N343" s="9"/>
      <c r="O343" s="9"/>
      <c r="P343" s="10"/>
      <c r="Q343" s="10"/>
      <c r="R343" s="10"/>
      <c r="S343" s="10"/>
      <c r="T343" s="10"/>
    </row>
    <row r="344" ht="15.75" customHeight="1">
      <c r="A344" s="13"/>
      <c r="B344" s="14"/>
      <c r="C344" s="13"/>
      <c r="D344" s="14"/>
      <c r="E344" s="14"/>
      <c r="F344" s="15"/>
      <c r="G344" s="15"/>
      <c r="H344" s="15"/>
      <c r="I344" s="15"/>
      <c r="J344" s="15"/>
      <c r="K344" s="9"/>
      <c r="L344" s="9"/>
      <c r="M344" s="9"/>
      <c r="N344" s="9"/>
      <c r="O344" s="9"/>
      <c r="P344" s="10"/>
      <c r="Q344" s="10"/>
      <c r="R344" s="10"/>
      <c r="S344" s="10"/>
      <c r="T344" s="10"/>
    </row>
    <row r="345" ht="15.75" customHeight="1">
      <c r="A345" s="13"/>
      <c r="B345" s="14"/>
      <c r="C345" s="13"/>
      <c r="D345" s="14"/>
      <c r="E345" s="14"/>
      <c r="F345" s="15"/>
      <c r="G345" s="15"/>
      <c r="H345" s="15"/>
      <c r="I345" s="15"/>
      <c r="J345" s="15"/>
      <c r="K345" s="9"/>
      <c r="L345" s="9"/>
      <c r="M345" s="9"/>
      <c r="N345" s="9"/>
      <c r="O345" s="9"/>
      <c r="P345" s="10"/>
      <c r="Q345" s="10"/>
      <c r="R345" s="10"/>
      <c r="S345" s="10"/>
      <c r="T345" s="10"/>
    </row>
    <row r="346" ht="15.75" customHeight="1">
      <c r="A346" s="13"/>
      <c r="B346" s="14"/>
      <c r="C346" s="13"/>
      <c r="D346" s="14"/>
      <c r="E346" s="14"/>
      <c r="F346" s="14"/>
      <c r="G346" s="14"/>
      <c r="H346" s="14"/>
      <c r="I346" s="14"/>
      <c r="J346" s="14"/>
      <c r="K346" s="9"/>
      <c r="L346" s="9"/>
      <c r="M346" s="9"/>
      <c r="N346" s="9"/>
      <c r="O346" s="9"/>
      <c r="P346" s="10"/>
      <c r="Q346" s="10"/>
      <c r="R346" s="10"/>
      <c r="S346" s="10"/>
      <c r="T346" s="10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3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6.75"/>
    <col customWidth="1" min="3" max="3" width="15.13"/>
    <col customWidth="1" min="4" max="4" width="14.13"/>
    <col customWidth="1" min="5" max="5" width="15.25"/>
    <col customWidth="1" min="6" max="6" width="17.0"/>
  </cols>
  <sheetData>
    <row r="1" ht="15.75" customHeight="1"/>
    <row r="2" ht="15.75" customHeight="1"/>
    <row r="3" ht="15.75" customHeight="1">
      <c r="C3" s="16" t="s">
        <v>117</v>
      </c>
    </row>
    <row r="4" ht="15.75" customHeight="1"/>
    <row r="5" ht="15.75" customHeight="1">
      <c r="A5" s="17" t="s">
        <v>118</v>
      </c>
      <c r="B5" s="18" t="s">
        <v>119</v>
      </c>
      <c r="C5" s="18" t="s">
        <v>120</v>
      </c>
      <c r="D5" s="18" t="s">
        <v>121</v>
      </c>
      <c r="E5" s="18" t="s">
        <v>122</v>
      </c>
      <c r="F5" s="18" t="s">
        <v>123</v>
      </c>
      <c r="G5" s="19"/>
    </row>
    <row r="6" ht="15.75" customHeight="1">
      <c r="A6" s="20" t="s">
        <v>124</v>
      </c>
      <c r="B6" s="21">
        <f>COUNTA(Daily_Net_price_movement!P$2:P$346)</f>
        <v>318</v>
      </c>
      <c r="C6" s="21">
        <f>COUNTA(Daily_Net_price_movement!Q$2:Q$346)</f>
        <v>310</v>
      </c>
      <c r="D6" s="21">
        <f>COUNTA(Daily_Net_price_movement!R$2:R$346)</f>
        <v>302</v>
      </c>
      <c r="E6" s="21">
        <f>COUNTA(Daily_Net_price_movement!S$2:S$346)</f>
        <v>294</v>
      </c>
      <c r="F6" s="21">
        <f>COUNTA(Daily_Net_price_movement!T$2:T$346)</f>
        <v>287</v>
      </c>
      <c r="G6" s="19"/>
    </row>
    <row r="7" ht="15.75" customHeight="1">
      <c r="A7" s="20" t="s">
        <v>125</v>
      </c>
      <c r="B7" s="21">
        <f>COUNTIF(Daily_Net_price_movement!P$2:P$346,"TRUE")</f>
        <v>201</v>
      </c>
      <c r="C7" s="21">
        <f>COUNTIF(Daily_Net_price_movement!Q$2:Q$346,"TRUE")</f>
        <v>199</v>
      </c>
      <c r="D7" s="21">
        <f>COUNTIF(Daily_Net_price_movement!R$2:R$346,"TRUE")</f>
        <v>194</v>
      </c>
      <c r="E7" s="21">
        <f>COUNTIF(Daily_Net_price_movement!S$2:S$346,"TRUE")</f>
        <v>193</v>
      </c>
      <c r="F7" s="21">
        <f>COUNTIF(Daily_Net_price_movement!T$2:T$346,"TRUE")</f>
        <v>193</v>
      </c>
      <c r="G7" s="19"/>
    </row>
    <row r="8" ht="15.75" customHeight="1">
      <c r="A8" s="20" t="s">
        <v>126</v>
      </c>
      <c r="B8" s="21">
        <f>COUNTIF(Daily_Net_price_movement!P$3:P$347,"FALSE")</f>
        <v>117</v>
      </c>
      <c r="C8" s="21">
        <f>COUNTIF(Daily_Net_price_movement!Q$3:Q$347,"FALSE")</f>
        <v>111</v>
      </c>
      <c r="D8" s="21">
        <f>COUNTIF(Daily_Net_price_movement!R$3:R$347,"FALSE")</f>
        <v>108</v>
      </c>
      <c r="E8" s="21">
        <f>COUNTIF(Daily_Net_price_movement!S$3:S$347,"FALSE")</f>
        <v>101</v>
      </c>
      <c r="F8" s="21">
        <f>COUNTIF(Daily_Net_price_movement!T$3:T$347,"FALSE")</f>
        <v>94</v>
      </c>
      <c r="G8" s="19"/>
    </row>
    <row r="9" ht="15.75" customHeight="1">
      <c r="A9" s="20" t="s">
        <v>127</v>
      </c>
      <c r="B9" s="22">
        <f t="shared" ref="B9:F9" si="1">B7/B6</f>
        <v>0.6320754717</v>
      </c>
      <c r="C9" s="22">
        <f t="shared" si="1"/>
        <v>0.6419354839</v>
      </c>
      <c r="D9" s="22">
        <f t="shared" si="1"/>
        <v>0.642384106</v>
      </c>
      <c r="E9" s="22">
        <f t="shared" si="1"/>
        <v>0.656462585</v>
      </c>
      <c r="F9" s="22">
        <f t="shared" si="1"/>
        <v>0.6724738676</v>
      </c>
      <c r="G9" s="19"/>
    </row>
    <row r="10" ht="15.75" customHeight="1">
      <c r="A10" s="20" t="s">
        <v>128</v>
      </c>
      <c r="B10" s="22">
        <f t="shared" ref="B10:F10" si="2">B8/B6</f>
        <v>0.3679245283</v>
      </c>
      <c r="C10" s="22">
        <f t="shared" si="2"/>
        <v>0.3580645161</v>
      </c>
      <c r="D10" s="22">
        <f t="shared" si="2"/>
        <v>0.357615894</v>
      </c>
      <c r="E10" s="22">
        <f t="shared" si="2"/>
        <v>0.343537415</v>
      </c>
      <c r="F10" s="22">
        <f t="shared" si="2"/>
        <v>0.3275261324</v>
      </c>
      <c r="G10" s="19"/>
    </row>
    <row r="11" ht="15.75" customHeight="1">
      <c r="A11" s="20" t="s">
        <v>129</v>
      </c>
      <c r="B11" s="23">
        <f>AVERAGE(Daily_Net_price_movement!K2:K346)</f>
        <v>0.008136945985</v>
      </c>
      <c r="C11" s="23">
        <f>AVERAGE(Daily_Net_price_movement!L2:L346)</f>
        <v>0.01127908547</v>
      </c>
      <c r="D11" s="23">
        <f>AVERAGE(Daily_Net_price_movement!M2:M346)</f>
        <v>0.01446845573</v>
      </c>
      <c r="E11" s="23">
        <f>AVERAGE(Daily_Net_price_movement!N2:N346)</f>
        <v>0.01856924875</v>
      </c>
      <c r="F11" s="23">
        <f>AVERAGE(Daily_Net_price_movement!O2:O346)</f>
        <v>0.02191272989</v>
      </c>
      <c r="G11" s="19"/>
    </row>
    <row r="12" ht="15.75" customHeight="1">
      <c r="A12" s="20" t="s">
        <v>130</v>
      </c>
      <c r="B12" s="22">
        <f>AVERAGEIF(Daily_Net_price_movement!P$2:P$346,"TRUE",Daily_Net_price_movement!K$2:K$346)</f>
        <v>0.03163136352</v>
      </c>
      <c r="C12" s="22">
        <f>AVERAGEIF(Daily_Net_price_movement!Q$2:Q$346,"TRUE",Daily_Net_price_movement!L$2:L$346)</f>
        <v>0.03715899655</v>
      </c>
      <c r="D12" s="22">
        <f>AVERAGEIF(Daily_Net_price_movement!R$2:R$346,"TRUE",Daily_Net_price_movement!M$2:M$346)</f>
        <v>0.04209279851</v>
      </c>
      <c r="E12" s="22">
        <f>AVERAGEIF(Daily_Net_price_movement!S$2:S$346,"TRUE",Daily_Net_price_movement!N$2:N$346)</f>
        <v>0.04717797344</v>
      </c>
      <c r="F12" s="22">
        <f>AVERAGEIF(Daily_Net_price_movement!T$2:T$346,"TRUE",Daily_Net_price_movement!O$2:O$346)</f>
        <v>0.05137797042</v>
      </c>
      <c r="G12" s="19"/>
    </row>
    <row r="13" ht="15.75" customHeight="1">
      <c r="A13" s="20" t="s">
        <v>131</v>
      </c>
      <c r="B13" s="22">
        <f>AVERAGEIF(Daily_Net_price_movement!P$3:P$347,"FALSE",Daily_Net_price_movement!K$3:K$347)</f>
        <v>-0.0322252585</v>
      </c>
      <c r="C13" s="22">
        <f>AVERAGEIF(Daily_Net_price_movement!Q$3:Q$347,"FALSE",Daily_Net_price_movement!L$3:L$347)</f>
        <v>-0.0351182326</v>
      </c>
      <c r="D13" s="22">
        <f>AVERAGEIF(Daily_Net_price_movement!R$3:R$347,"FALSE",Daily_Net_price_movement!M$3:M$347)</f>
        <v>-0.03515304889</v>
      </c>
      <c r="E13" s="22">
        <f>AVERAGEIF(Daily_Net_price_movement!S$3:S$347,"FALSE",Daily_Net_price_movement!N$3:N$347)</f>
        <v>-0.03609890833</v>
      </c>
      <c r="F13" s="22">
        <f>AVERAGEIF(Daily_Net_price_movement!T$3:T$347,"FALSE",Daily_Net_price_movement!O$3:O$347)</f>
        <v>-0.03858505118</v>
      </c>
      <c r="G13" s="19"/>
    </row>
    <row r="14" ht="15.75" customHeight="1">
      <c r="A14" s="20" t="s">
        <v>132</v>
      </c>
      <c r="B14" s="22">
        <f>MAX(Daily_Net_price_movement!K$2:K$346)</f>
        <v>0.1405849321</v>
      </c>
      <c r="C14" s="22">
        <f>MAX(Daily_Net_price_movement!L$2:L$346)</f>
        <v>0.1553836371</v>
      </c>
      <c r="D14" s="22">
        <f>MAX(Daily_Net_price_movement!M$2:M$346)</f>
        <v>0.1719443267</v>
      </c>
      <c r="E14" s="22">
        <f>MAX(Daily_Net_price_movement!N$2:N$346)</f>
        <v>0.1742808696</v>
      </c>
      <c r="F14" s="22">
        <f>MAX(Daily_Net_price_movement!O$2:O$346)</f>
        <v>0.1852651631</v>
      </c>
      <c r="G14" s="19"/>
    </row>
    <row r="15" ht="15.75" customHeight="1">
      <c r="A15" s="20" t="s">
        <v>133</v>
      </c>
      <c r="B15" s="22">
        <f>MIN(Daily_Net_price_movement!K$3:K$347)</f>
        <v>-0.4795403928</v>
      </c>
      <c r="C15" s="22">
        <f>MIN(Daily_Net_price_movement!L$3:L$347)</f>
        <v>-0.5316531687</v>
      </c>
      <c r="D15" s="22">
        <f>MIN(Daily_Net_price_movement!M$3:M$347)</f>
        <v>-0.5644690221</v>
      </c>
      <c r="E15" s="22">
        <f>MIN(Daily_Net_price_movement!N$3:N$347)</f>
        <v>-0.5778772452</v>
      </c>
      <c r="F15" s="22">
        <f>MIN(Daily_Net_price_movement!O$3:O$347)</f>
        <v>-0.5790917949</v>
      </c>
      <c r="G15" s="19"/>
    </row>
    <row r="16" ht="15.75" customHeight="1"/>
    <row r="17" ht="15.75" customHeight="1"/>
    <row r="18" ht="15.75" customHeight="1">
      <c r="B18" s="24"/>
      <c r="C18" s="25"/>
      <c r="D18" s="26" t="s">
        <v>134</v>
      </c>
      <c r="E18" s="24"/>
      <c r="F18" s="24"/>
    </row>
    <row r="19" ht="15.75" customHeight="1">
      <c r="B19" s="24"/>
      <c r="D19" s="24"/>
      <c r="E19" s="24"/>
      <c r="F19" s="24"/>
    </row>
    <row r="20" ht="15.75" customHeight="1">
      <c r="A20" s="27" t="str">
        <f t="shared" ref="A20:F20" si="3">A5</f>
        <v>METRICS</v>
      </c>
      <c r="B20" s="28" t="str">
        <f t="shared" si="3"/>
        <v>20 DAYS AVG. MOVEMENT</v>
      </c>
      <c r="C20" s="28" t="str">
        <f t="shared" si="3"/>
        <v>25 DAYS AVG. MOVEMENT</v>
      </c>
      <c r="D20" s="28" t="str">
        <f t="shared" si="3"/>
        <v>30 DAYS AVG. MOVEMENT</v>
      </c>
      <c r="E20" s="28" t="str">
        <f t="shared" si="3"/>
        <v>35 DAYS AVG. MOVEMENT</v>
      </c>
      <c r="F20" s="28" t="str">
        <f t="shared" si="3"/>
        <v>40 DAYS AVG. MOVEMENT</v>
      </c>
    </row>
    <row r="21" ht="15.75" customHeight="1">
      <c r="A21" s="29" t="str">
        <f t="shared" ref="A21:F21" si="4">A11</f>
        <v>AVG. MOVEMENT(%)</v>
      </c>
      <c r="B21" s="30">
        <f t="shared" si="4"/>
        <v>0.008136945985</v>
      </c>
      <c r="C21" s="30">
        <f t="shared" si="4"/>
        <v>0.01127908547</v>
      </c>
      <c r="D21" s="30">
        <f t="shared" si="4"/>
        <v>0.01446845573</v>
      </c>
      <c r="E21" s="30">
        <f t="shared" si="4"/>
        <v>0.01856924875</v>
      </c>
      <c r="F21" s="30">
        <f t="shared" si="4"/>
        <v>0.02191272989</v>
      </c>
    </row>
    <row r="22" ht="15.75" customHeight="1">
      <c r="A22" s="29" t="str">
        <f t="shared" ref="A22:F22" si="5">A14</f>
        <v>Max. Upward movement(%)</v>
      </c>
      <c r="B22" s="31">
        <f t="shared" si="5"/>
        <v>0.1405849321</v>
      </c>
      <c r="C22" s="31">
        <f t="shared" si="5"/>
        <v>0.1553836371</v>
      </c>
      <c r="D22" s="31">
        <f t="shared" si="5"/>
        <v>0.1719443267</v>
      </c>
      <c r="E22" s="31">
        <f t="shared" si="5"/>
        <v>0.1742808696</v>
      </c>
      <c r="F22" s="31">
        <f t="shared" si="5"/>
        <v>0.1852651631</v>
      </c>
    </row>
    <row r="23" ht="15.75" customHeight="1">
      <c r="A23" s="29" t="str">
        <f t="shared" ref="A23:F23" si="6">A15</f>
        <v>Worst down movement (%)</v>
      </c>
      <c r="B23" s="31">
        <f t="shared" si="6"/>
        <v>-0.4795403928</v>
      </c>
      <c r="C23" s="31">
        <f t="shared" si="6"/>
        <v>-0.5316531687</v>
      </c>
      <c r="D23" s="31">
        <f t="shared" si="6"/>
        <v>-0.5644690221</v>
      </c>
      <c r="E23" s="31">
        <f t="shared" si="6"/>
        <v>-0.5778772452</v>
      </c>
      <c r="F23" s="31">
        <f t="shared" si="6"/>
        <v>-0.5790917949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